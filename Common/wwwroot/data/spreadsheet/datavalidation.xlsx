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Gross Pay" sheetId="1" r:id="rId1"/>
  </sheets>
  <calcPr fullPrecision="1" calcId="125725"/>
</workbook>
</file>

<file path=xl/sharedStrings.xml><?xml version="1.0" encoding="utf-8"?>
<sst xmlns="http://schemas.openxmlformats.org/spreadsheetml/2006/main" uniqueCount="26" count="31">
  <si>
    <t>Gross Pay Calculation</t>
  </si>
  <si>
    <t>Employee ID</t>
  </si>
  <si>
    <t>Employee Name</t>
  </si>
  <si>
    <t>Date</t>
  </si>
  <si>
    <t>Weekday</t>
  </si>
  <si>
    <t>Time In</t>
  </si>
  <si>
    <t>Time Out</t>
  </si>
  <si>
    <t>Hours Worked</t>
  </si>
  <si>
    <t>Basic Salary (30/hour)</t>
  </si>
  <si>
    <t>Gross Pay With Overtime(15/hour)</t>
  </si>
  <si>
    <t>Van Michael</t>
  </si>
  <si>
    <t>Mon</t>
  </si>
  <si>
    <t>Janet Anne</t>
  </si>
  <si>
    <t>Tue</t>
  </si>
  <si>
    <t>Laura Vinet</t>
  </si>
  <si>
    <t>Jack Tamer</t>
  </si>
  <si>
    <t>Thu</t>
  </si>
  <si>
    <t>Martin Davolio</t>
  </si>
  <si>
    <t>Fri</t>
  </si>
  <si>
    <t>Laura Bergs</t>
  </si>
  <si>
    <t>Paul Henriot</t>
  </si>
  <si>
    <t>Mario Pontes</t>
  </si>
  <si>
    <t>Wed</t>
  </si>
  <si>
    <t>Paula Wilson</t>
  </si>
  <si>
    <t>Nancy Fuller</t>
  </si>
  <si>
    <t>Total Gross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</si>
</sst>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&quot;$&quot;#,##0.00"/>
  </numFmts>
  <fonts count="7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20"/>
      <name val="Calibri"/>
      <charset val="0"/>
    </font>
    <font>
      <b/>
      <sz val="11"/>
      <name val="Calibri"/>
      <charset val="0"/>
    </font>
  </fonts>
  <fills count="3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B3FFB3"/>
        <bgColor indexed="64"/>
      </patternFill>
    </fill>
  </fills>
  <borders count="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</borders>
  <cellStyleXfs count="3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0" fillId="0" borderId="0"/>
    <xf numFmtId="0" fontId="0" fillId="0" borderId="0">
      <protection locked="0"/>
    </xf>
  </cellStyleXfs>
  <cellXfs>
    <xf numFmtId="0" fontId="0" fillId="0" borderId="0" xfId="0"/>
    <xf numFmtId="0" fontId="5" fillId="2" borderId="1" xfId="0" applyAlignment="1" applyBorder="1" applyFont="1" applyFill="1">
      <alignment horizontal="center" vertical="center"/>
    </xf>
    <xf numFmtId="0" fontId="0" fillId="0" borderId="1" xfId="0" applyBorder="1"/>
    <xf numFmtId="0" fontId="6" fillId="2" borderId="1" xfId="0" applyAlignment="1" applyBorder="1" applyFont="1" applyFill="1">
      <alignment horizontal="center" vertical="center"/>
    </xf>
    <xf numFmtId="0" fontId="6" fillId="2" borderId="1" xfId="0" applyAlignment="1" applyBorder="1" applyFont="1" applyFill="1">
      <alignment horizontal="center" vertical="center" wrapText="1"/>
    </xf>
    <xf numFmtId="0" fontId="0" fillId="0" borderId="1" xfId="0" applyAlignment="1" applyBorder="1">
      <alignment horizontal="center" vertical="center"/>
    </xf>
    <xf numFmtId="14" fontId="0" fillId="0" borderId="1" xfId="0" applyAlignment="1" applyBorder="1" applyNumberFormat="1">
      <alignment horizontal="center" vertical="center"/>
    </xf>
    <xf numFmtId="18" fontId="0" fillId="0" borderId="1" xfId="0" applyAlignment="1" applyBorder="1" applyNumberFormat="1">
      <alignment horizontal="center" vertical="center"/>
    </xf>
    <xf numFmtId="164" fontId="0" fillId="0" borderId="1" xfId="0" applyAlignment="1" applyBorder="1" applyNumberFormat="1">
      <alignment horizontal="center" vertical="center"/>
    </xf>
    <xf numFmtId="0" fontId="6" fillId="0" borderId="2" xfId="0" applyAlignment="1" applyBorder="1" applyFont="1">
      <alignment horizontal="center" vertical="center"/>
    </xf>
    <xf numFmtId="164" fontId="6" fillId="0" borderId="2" xfId="0" applyAlignment="1" applyBorder="1" applyFont="1" applyNumberFormat="1">
      <alignment horizontal="center" vertical="center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Gross PayLockedColumnStyle" xfId="20"/>
    <cellStyle name="Gross PayUnLockedColumnStyle" xfId="21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I14"/>
  <sheetViews>
    <sheetView topLeftCell="A1" view="normal" tabSelected="1" workbookViewId="0">
      <selection pane="topLeft" activeCell="A1" sqref="A1:I2"/>
    </sheetView>
  </sheetViews>
  <sheetFormatPr customHeight="true" defaultRowHeight="15"/>
  <cols>
    <col min="1" max="1" width="12.5703125" customWidth="1"/>
    <col min="2" max="2" width="17.140625" customWidth="1"/>
    <col min="3" max="3" width="15.140625" customWidth="1"/>
    <col min="4" max="4" width="14" customWidth="1"/>
    <col min="5" max="7" width="15.7109375" customWidth="1"/>
    <col min="8" max="8" width="14" customWidth="1"/>
    <col min="9" max="9" width="18.5703125" customWidth="1"/>
  </cols>
  <sheetData>
    <row r="1" spans="1:9" ht="26.25" customHeight="1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>
      <c r="A2" s="2"/>
      <c r="B2" s="2"/>
      <c r="C2" s="2"/>
      <c r="D2" s="2"/>
      <c r="E2" s="2"/>
      <c r="F2" s="2"/>
      <c r="G2" s="2"/>
      <c r="H2" s="2"/>
      <c r="I2" s="2"/>
    </row>
    <row r="3" spans="1:9" ht="28.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  <c r="I3" s="4" t="s">
        <v>9</v>
      </c>
    </row>
    <row r="4" spans="1:9">
      <c r="A4" s="5">
        <v>1001</v>
      </c>
      <c r="B4" s="5" t="s">
        <v>10</v>
      </c>
      <c r="C4" s="6">
        <v>45752</v>
      </c>
      <c r="D4" s="5" t="s">
        <v>11</v>
      </c>
      <c r="E4" s="7">
        <v>0.333333333333333</v>
      </c>
      <c r="F4" s="7">
        <v>0.916666666666667</v>
      </c>
      <c r="G4" s="5">
        <v>14</v>
      </c>
      <c r="H4" s="8">
        <f ca="1">G4*30</f>
        <v>0</v>
      </c>
      <c r="I4" s="8">
        <f ca="1">SUM(H4 + ((G4-8)*15))</f>
        <v>0</v>
      </c>
    </row>
    <row r="5" spans="1:9">
      <c r="A5" s="5">
        <v>1002</v>
      </c>
      <c r="B5" s="5" t="s">
        <v>12</v>
      </c>
      <c r="C5" s="6">
        <v>45753</v>
      </c>
      <c r="D5" s="5" t="s">
        <v>13</v>
      </c>
      <c r="E5" s="7">
        <v>0.333333333333333</v>
      </c>
      <c r="F5" s="7">
        <v>0.75</v>
      </c>
      <c r="G5" s="5">
        <v>10</v>
      </c>
      <c r="H5" s="8">
        <f ca="1">G5*30</f>
        <v>0</v>
      </c>
      <c r="I5" s="8">
        <f ca="1">SUM(H5 + ((G5-8)*15))</f>
        <v>0</v>
      </c>
    </row>
    <row r="6" spans="1:9">
      <c r="A6" s="5">
        <v>1003</v>
      </c>
      <c r="B6" s="5" t="s">
        <v>14</v>
      </c>
      <c r="C6" s="6">
        <v>45753</v>
      </c>
      <c r="D6" s="5" t="s">
        <v>13</v>
      </c>
      <c r="E6" s="7">
        <v>0.458333333333333</v>
      </c>
      <c r="F6" s="7">
        <v>0.666666666666667</v>
      </c>
      <c r="G6" s="5">
        <v>9</v>
      </c>
      <c r="H6" s="8">
        <f ca="1">G6*30</f>
        <v>0</v>
      </c>
      <c r="I6" s="8">
        <f ca="1">SUM(H6 + ((G6-8)*15))</f>
        <v>0</v>
      </c>
    </row>
    <row r="7" spans="1:9">
      <c r="A7" s="5">
        <v>1004</v>
      </c>
      <c r="B7" s="5" t="s">
        <v>15</v>
      </c>
      <c r="C7" s="6">
        <v>45755</v>
      </c>
      <c r="D7" s="5" t="s">
        <v>16</v>
      </c>
      <c r="E7" s="7">
        <v>0.333333333333333</v>
      </c>
      <c r="F7" s="7">
        <v>0.666666666666667</v>
      </c>
      <c r="G7" s="5">
        <v>8</v>
      </c>
      <c r="H7" s="8">
        <f ca="1">G7*30</f>
        <v>0</v>
      </c>
      <c r="I7" s="8">
        <f ca="1">SUM(H7 + ((G7-8)*15))</f>
        <v>0</v>
      </c>
    </row>
    <row r="8" spans="1:9">
      <c r="A8" s="5">
        <v>1005</v>
      </c>
      <c r="B8" s="5" t="s">
        <v>17</v>
      </c>
      <c r="C8" s="6">
        <v>45756</v>
      </c>
      <c r="D8" s="5" t="s">
        <v>18</v>
      </c>
      <c r="E8" s="7">
        <v>0.291666666666667</v>
      </c>
      <c r="F8" s="7">
        <v>0.75</v>
      </c>
      <c r="G8" s="5">
        <v>11</v>
      </c>
      <c r="H8" s="8">
        <f ca="1">G8*30</f>
        <v>0</v>
      </c>
      <c r="I8" s="8">
        <f ca="1">SUM(H8 + ((G8-8)*15))</f>
        <v>0</v>
      </c>
    </row>
    <row r="9" spans="1:9">
      <c r="A9" s="5">
        <v>1006</v>
      </c>
      <c r="B9" s="5" t="s">
        <v>19</v>
      </c>
      <c r="C9" s="6">
        <v>45759</v>
      </c>
      <c r="D9" s="5" t="s">
        <v>11</v>
      </c>
      <c r="E9" s="7">
        <v>0.416666666666667</v>
      </c>
      <c r="F9" s="7">
        <v>0.75</v>
      </c>
      <c r="G9" s="5">
        <v>8</v>
      </c>
      <c r="H9" s="8">
        <f ca="1">G9*30</f>
        <v>0</v>
      </c>
      <c r="I9" s="8">
        <f ca="1">SUM(H9 + ((G9-8)*15))</f>
        <v>0</v>
      </c>
    </row>
    <row r="10" spans="1:9">
      <c r="A10" s="5">
        <v>1007</v>
      </c>
      <c r="B10" s="5" t="s">
        <v>20</v>
      </c>
      <c r="C10" s="6">
        <v>45760</v>
      </c>
      <c r="D10" s="5" t="s">
        <v>13</v>
      </c>
      <c r="E10" s="7">
        <v>0.416666666666667</v>
      </c>
      <c r="F10" s="7">
        <v>0.791666666666667</v>
      </c>
      <c r="G10" s="5">
        <v>9</v>
      </c>
      <c r="H10" s="8">
        <f ca="1">G10*30</f>
        <v>0</v>
      </c>
      <c r="I10" s="8">
        <f ca="1">SUM(H10 + ((G10-8)*15))</f>
        <v>0</v>
      </c>
    </row>
    <row r="11" spans="1:9">
      <c r="A11" s="5">
        <v>1008</v>
      </c>
      <c r="B11" s="5" t="s">
        <v>21</v>
      </c>
      <c r="C11" s="6">
        <v>45761</v>
      </c>
      <c r="D11" s="5" t="s">
        <v>22</v>
      </c>
      <c r="E11" s="7">
        <v>0.333333333333333</v>
      </c>
      <c r="F11" s="7">
        <v>0.666666666666667</v>
      </c>
      <c r="G11" s="5">
        <v>8</v>
      </c>
      <c r="H11" s="8">
        <f ca="1">G11*30</f>
        <v>0</v>
      </c>
      <c r="I11" s="8">
        <f ca="1">SUM(H11 + ((G11-8)*15))</f>
        <v>0</v>
      </c>
    </row>
    <row r="12" spans="1:9">
      <c r="A12" s="5">
        <v>1009</v>
      </c>
      <c r="B12" s="5" t="s">
        <v>23</v>
      </c>
      <c r="C12" s="6">
        <v>45761</v>
      </c>
      <c r="D12" s="5" t="s">
        <v>22</v>
      </c>
      <c r="E12" s="7">
        <v>0.458333333333333</v>
      </c>
      <c r="F12" s="7">
        <v>0.833333333333333</v>
      </c>
      <c r="G12" s="5">
        <v>9</v>
      </c>
      <c r="H12" s="8">
        <f ca="1">G12*30</f>
        <v>0</v>
      </c>
      <c r="I12" s="8">
        <f ca="1">SUM(H12 + ((G12-8)*15))</f>
        <v>0</v>
      </c>
    </row>
    <row r="13" spans="1:9">
      <c r="A13" s="5">
        <v>1010</v>
      </c>
      <c r="B13" s="5" t="s">
        <v>24</v>
      </c>
      <c r="C13" s="6">
        <v>45762</v>
      </c>
      <c r="D13" s="5" t="s">
        <v>16</v>
      </c>
      <c r="E13" s="7">
        <v>0.375</v>
      </c>
      <c r="F13" s="7">
        <v>0.833333333333333</v>
      </c>
      <c r="G13" s="5">
        <v>11</v>
      </c>
      <c r="H13" s="8">
        <f ca="1">G13*30</f>
        <v>0</v>
      </c>
      <c r="I13" s="8">
        <f ca="1">SUM(H13 + ((G13-8)*15))</f>
        <v>0</v>
      </c>
    </row>
    <row r="14" spans="8:9">
      <c r="H14" s="9" t="s">
        <v>25</v>
      </c>
      <c r="I14" s="10">
        <f ca="1">SUM(I4:I13)</f>
        <v>0</v>
      </c>
    </row>
  </sheetData>
  <mergeCells count="1">
    <mergeCell ref="A1:I2"/>
  </mergeCells>
  <dataValidations count="6">
    <dataValidation type="textLength" operator="greaterThan" showInputMessage="1" showErrorMessage="1" sqref="B4:B13">
      <formula1>3</formula1>
    </dataValidation>
    <dataValidation type="list" showInputMessage="1" showErrorMessage="1" sqref="D4:D13">
      <formula1>"Mon, Tue, Wed, Thu, Fri"</formula1>
    </dataValidation>
    <dataValidation type="time" operator="greaterThan" showInputMessage="1" showErrorMessage="1" sqref="E4:E13">
      <formula1>0.3333333333333333</formula1>
    </dataValidation>
    <dataValidation type="time" operator="lessThan" showInputMessage="1" showErrorMessage="1" sqref="F4:F13">
      <formula1>0.75</formula1>
    </dataValidation>
    <dataValidation type="whole" operator="lessThan" showInputMessage="1" showErrorMessage="1" sqref="G4:G13">
      <formula1>9</formula1>
    </dataValidation>
    <dataValidation type="whole" operator="lessThan" showInputMessage="1" showErrorMessage="1" sqref="I4:I13">
      <formula1>H5</formula1>
    </dataValidation>
  </dataValidations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wp0sdwk0001AR$</dc:creator>
  <dcterms:created xsi:type="dcterms:W3CDTF">2026-08-15T07:37:40Z</dcterms:created>
  <dcterms:modified xsi:type="dcterms:W3CDTF">2026-08-15T07:37:40Z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