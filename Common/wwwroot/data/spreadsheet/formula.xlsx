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426"/>
  <workbookPr codeName="ThisWorkbook"/>
  <bookViews>
    <workbookView xWindow="-108" yWindow="-108" windowWidth="23256" windowHeight="12456"/>
  </bookViews>
  <sheets>
    <sheet name="Sales" sheetId="1" r:id="rId1"/>
    <sheet name="Product1" sheetId="2" r:id="rId2"/>
    <sheet name="Product2" sheetId="3" r:id="rId3"/>
    <sheet name="Product3" sheetId="4" r:id="rId4"/>
    <sheet name="Product4" sheetId="5" r:id="rId5"/>
    <sheet name="Product5" sheetId="6" r:id="rId6"/>
    <sheet name="Table Style" sheetId="9" r:id="rId7"/>
  </sheets>
  <definedNames>
    <definedName name="FIRSTCELL" comment="">#REF!</definedName>
    <definedName name="FIRSTCOLUMN" comment="">#REF!</definedName>
    <definedName name="SECONDCELL" comment="">#REF!</definedName>
    <definedName name="SECONDCOLUMN" comment="">#REF!</definedName>
  </definedNames>
  <calcPr fullPrecision="1" calcId="191029"/>
</workbook>
</file>

<file path=xl/sharedStrings.xml><?xml version="1.0" encoding="utf-8"?>
<sst xmlns="http://schemas.openxmlformats.org/spreadsheetml/2006/main" uniqueCount="36" count="79">
  <si>
    <t>SALES</t>
  </si>
  <si>
    <t>Period Starting: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</si>
  <si>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</si>
  <si>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</si>
  <si>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</si>
  <si>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</si>
  <si>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</si>
  <si>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</si>
  <si>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</si>
  <si>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</si>
  <si>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</si>
  <si>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</si>
  <si>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</si>
  <si>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</si>
  <si>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</si>
  <si>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Product 1</t>
  </si>
  <si>
    <t>Budget</t>
  </si>
  <si>
    <t>Over / (Under Budget)</t>
  </si>
  <si>
    <t>Product 2</t>
  </si>
  <si>
    <t>Product 3</t>
  </si>
  <si>
    <t>Product 4</t>
  </si>
  <si>
    <t>Product 5</t>
  </si>
  <si>
    <t>Total Sales</t>
  </si>
  <si>
    <t>Total Sales Budget</t>
  </si>
  <si>
    <t>Total Over / (Under Budget)</t>
  </si>
  <si>
    <t>Product1</t>
  </si>
  <si>
    <t>Annual Sales vs. Budget Report</t>
  </si>
  <si>
    <t>Month</t>
  </si>
  <si>
    <t>Sales</t>
  </si>
  <si>
    <t>Over/Under</t>
  </si>
  <si>
    <t>* Formulas will have the cross sheet reference</t>
  </si>
  <si>
    <t>Over / Under Budget</t>
  </si>
  <si>
    <t>Product2</t>
  </si>
  <si>
    <t>Product3</t>
  </si>
  <si>
    <t>Product4</t>
  </si>
  <si>
    <t>Product5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</si>
</sst>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5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"/>
    <numFmt numFmtId="165" formatCode="&quot;$&quot;#,##0.00"/>
    <numFmt numFmtId="166" formatCode="&quot;£&quot;#,##0.00;\-&quot;£&quot;#,##0.00"/>
    <numFmt numFmtId="167" formatCode="mm/dd/yy"/>
    <numFmt numFmtId="168" formatCode="_-* #,##0_-;\-* #,##0_-;_-* &quot;-&quot;_-;_-@_-"/>
    <numFmt numFmtId="169" formatCode="_-* #,##0.00_-;\-* #,##0.00_-;_-* &quot;-&quot;??_-;_-@_-"/>
    <numFmt numFmtId="170" formatCode="0_);[Red]\(0\)"/>
    <numFmt numFmtId="171" formatCode="0%_);[Red]\(0%\)"/>
    <numFmt numFmtId="172" formatCode="0.00%_);[Red]\(0.00%\)"/>
    <numFmt numFmtId="173" formatCode="_-&quot;£&quot;* #,##0_-;\-&quot;£&quot;* #,##0_-;_-&quot;£&quot;* &quot;-&quot;_-;_-@_-"/>
    <numFmt numFmtId="174" formatCode="_-&quot;£&quot;* #,##0.00_-;\-&quot;£&quot;* #,##0.00_-;_-&quot;£&quot;* &quot;-&quot;??_-;_-@_-"/>
  </numFmts>
  <fonts count="34">
    <font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sz val="8"/>
      <name val="Tahoma"/>
      <family val="2"/>
      <charset val="0"/>
    </font>
    <font>
      <b/>
      <sz val="8"/>
      <color indexed="8"/>
      <name val="Tahoma"/>
      <family val="2"/>
      <charset val="0"/>
    </font>
    <font>
      <sz val="11"/>
      <color theme="1"/>
      <name val="Calibri"/>
      <family val="2"/>
      <charset val="0"/>
      <scheme val="minor"/>
    </font>
    <font>
      <b/>
      <sz val="10"/>
      <color indexed="8"/>
      <name val="Arial"/>
      <family val="2"/>
      <charset val="0"/>
    </font>
    <font>
      <b/>
      <sz val="10"/>
      <name val="Arial"/>
      <family val="2"/>
      <charset val="0"/>
    </font>
    <font>
      <sz val="8"/>
      <name val="Arial"/>
      <family val="2"/>
      <charset val="0"/>
    </font>
    <font>
      <b/>
      <sz val="12"/>
      <name val="Arial"/>
      <family val="2"/>
      <charset val="0"/>
    </font>
    <font>
      <sz val="10"/>
      <color indexed="12"/>
      <name val="Arial"/>
      <family val="2"/>
      <charset val="0"/>
    </font>
    <font>
      <sz val="8"/>
      <name val="Times New Roman"/>
      <family val="1"/>
      <charset val="0"/>
    </font>
    <font>
      <sz val="8"/>
      <name val="Verdana"/>
      <family val="2"/>
      <charset val="0"/>
    </font>
    <font>
      <sz val="10"/>
      <name val="Helv"/>
      <charset val="0"/>
    </font>
    <font>
      <b/>
      <sz val="9"/>
      <name val="Arial"/>
      <family val="2"/>
      <charset val="0"/>
    </font>
    <font>
      <b/>
      <sz val="8"/>
      <color indexed="9"/>
      <name val="Tahoma"/>
      <family val="2"/>
      <charset val="0"/>
    </font>
    <font>
      <b/>
      <sz val="18"/>
      <name val="Arial"/>
      <family val="2"/>
      <charset val="0"/>
    </font>
    <font>
      <b/>
      <sz val="11"/>
      <color indexed="23"/>
      <name val="Verdana"/>
      <family val="2"/>
      <charset val="0"/>
    </font>
    <font>
      <sz val="10"/>
      <color indexed="10"/>
      <name val="Helv"/>
      <charset val="0"/>
    </font>
    <font>
      <sz val="9"/>
      <color indexed="10"/>
      <name val="Arial"/>
      <family val="2"/>
      <charset val="0"/>
    </font>
    <font>
      <i/>
      <sz val="10"/>
      <color indexed="12"/>
      <name val="Tms Rmn"/>
      <charset val="0"/>
    </font>
    <font>
      <b/>
      <sz val="10"/>
      <color indexed="8"/>
      <name val="Tms Rmn"/>
      <charset val="0"/>
    </font>
    <font>
      <b/>
      <sz val="20"/>
      <name val="Arial"/>
      <family val="2"/>
      <charset val="0"/>
    </font>
    <font>
      <sz val="11"/>
      <color indexed="27"/>
      <name val="Calibri"/>
      <family val="2"/>
      <charset val="0"/>
      <scheme val="minor"/>
    </font>
    <font>
      <sz val="26"/>
      <color theme="1"/>
      <name val="Calibri"/>
      <family val="2"/>
      <charset val="0"/>
      <scheme val="minor"/>
    </font>
    <font>
      <sz val="1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20"/>
      <color theme="0"/>
      <name val="Segoe UI"/>
      <family val="2"/>
      <charset val="0"/>
    </font>
    <font>
      <b/>
      <sz val="12"/>
      <name val="Segoe UI"/>
      <family val="2"/>
      <charset val="0"/>
    </font>
    <font>
      <b/>
      <sz val="20"/>
      <name val="Segoe UI"/>
      <family val="2"/>
      <charset val="0"/>
    </font>
    <font>
      <sz val="11"/>
      <color indexed="27"/>
      <name val="Segoe UI"/>
      <family val="2"/>
      <charset val="0"/>
    </font>
    <font>
      <b/>
      <i/>
      <sz val="9"/>
      <name val="Segoe UI"/>
      <family val="2"/>
      <charset val="0"/>
    </font>
    <font>
      <sz val="18"/>
      <color theme="0"/>
      <name val="Segoe UI"/>
      <family val="2"/>
      <charset val="0"/>
    </font>
    <font>
      <u val="single"/>
      <sz val="11"/>
      <color theme="10"/>
      <name val="Calibri"/>
      <family val="2"/>
      <charset val="0"/>
      <scheme val="minor"/>
    </font>
    <font>
      <b/>
      <i/>
      <sz val="9"/>
      <color theme="1"/>
      <name val="Segoe UI"/>
      <family val="2"/>
      <charset val="0"/>
    </font>
  </fonts>
  <fills count="1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7">
    <xf numFmtId="0" fontId="0" fillId="0" borderId="0"/>
    <xf numFmtId="37" fontId="2" fillId="2" borderId="1">
      <alignment vertical="center"/>
    </xf>
    <xf numFmtId="5" fontId="10" fillId="0" borderId="2">
      <protection locked="0"/>
    </xf>
    <xf numFmtId="0" fontId="11" fillId="3" borderId="0">
      <alignment horizontal="left" vertical="center" indent="1"/>
    </xf>
    <xf numFmtId="43" fontId="1" fillId="0" borderId="0"/>
    <xf numFmtId="3" fontId="1" fillId="0" borderId="0"/>
    <xf numFmtId="5" fontId="1" fillId="0" borderId="0"/>
    <xf numFmtId="0" fontId="12" fillId="0" borderId="3"/>
    <xf numFmtId="4" fontId="10" fillId="4" borderId="3">
      <protection locked="0"/>
    </xf>
    <xf numFmtId="167" fontId="1" fillId="0" borderId="0"/>
    <xf numFmtId="168" fontId="1" fillId="0" borderId="0"/>
    <xf numFmtId="169" fontId="1" fillId="0" borderId="0"/>
    <xf numFmtId="170" fontId="1" fillId="0" borderId="0"/>
    <xf numFmtId="4" fontId="10" fillId="5" borderId="3"/>
    <xf numFmtId="43" fontId="13" fillId="0" borderId="4"/>
    <xf numFmtId="37" fontId="14" fillId="6" borderId="2">
      <alignment horizontal="left" vertical="center" indent="1"/>
    </xf>
    <xf numFmtId="37" fontId="3" fillId="7" borderId="5">
      <alignment vertical="center"/>
    </xf>
    <xf numFmtId="0" fontId="3" fillId="8" borderId="6">
      <alignment horizontal="left" vertical="top" indent="1"/>
    </xf>
    <xf numFmtId="0" fontId="3" fillId="2" borderId="0">
      <alignment horizontal="left" vertical="center" indent="1"/>
    </xf>
    <xf numFmtId="0" fontId="3" fillId="0" borderId="6">
      <alignment horizontal="centerContinuous" vertical="top"/>
    </xf>
    <xf numFmtId="0" fontId="15" fillId="0" borderId="0"/>
    <xf numFmtId="0" fontId="8" fillId="0" borderId="0"/>
    <xf numFmtId="43" fontId="13" fillId="0" borderId="7"/>
    <xf numFmtId="44" fontId="13" fillId="0" borderId="8"/>
    <xf numFmtId="0" fontId="16" fillId="7" borderId="0">
      <alignment horizontal="left" wrapText="1" indent="1"/>
    </xf>
    <xf numFmtId="37" fontId="2" fillId="2" borderId="9">
      <alignment horizontal="left" vertical="center" indent="2"/>
    </xf>
    <xf numFmtId="0" fontId="1" fillId="0" borderId="0"/>
    <xf numFmtId="0" fontId="1" fillId="0" borderId="0"/>
    <xf numFmtId="0" fontId="17" fillId="0" borderId="0"/>
    <xf numFmtId="9" fontId="1" fillId="0" borderId="0"/>
    <xf numFmtId="171" fontId="7" fillId="9" borderId="10"/>
    <xf numFmtId="172" fontId="7" fillId="0" borderId="10">
      <protection locked="0"/>
    </xf>
    <xf numFmtId="2" fontId="18" fillId="0" borderId="0">
      <protection locked="0"/>
    </xf>
    <xf numFmtId="0" fontId="1" fillId="10" borderId="0"/>
    <xf numFmtId="49" fontId="1" fillId="0" borderId="0"/>
    <xf numFmtId="0" fontId="19" fillId="0" borderId="0">
      <alignment horizontal="right"/>
    </xf>
    <xf numFmtId="0" fontId="20" fillId="0" borderId="0"/>
    <xf numFmtId="0" fontId="1" fillId="0" borderId="11"/>
    <xf numFmtId="173" fontId="1" fillId="0" borderId="0"/>
    <xf numFmtId="174" fontId="1" fillId="0" borderId="0"/>
    <xf numFmtId="0" fontId="32" fillId="0" borderId="0"/>
    <xf numFmtId="44" fontId="0" fillId="0" borderId="0" applyAlignment="0" applyBorder="0" applyFont="0" applyFill="0" applyProtection="0"/>
  </cellStyleXfs>
  <cellXfs>
    <xf numFmtId="0" fontId="0" fillId="0" borderId="0" xfId="0"/>
    <xf numFmtId="37" fontId="1" fillId="0" borderId="12" xfId="25" applyAlignment="1" applyBorder="1" applyFont="1" applyNumberFormat="1" applyFill="1">
      <alignment horizontal="left" vertical="center" indent="4"/>
    </xf>
    <xf numFmtId="0" fontId="0" fillId="0" borderId="13" xfId="0" applyBorder="1"/>
    <xf numFmtId="0" fontId="0" fillId="0" borderId="7" xfId="0" applyBorder="1"/>
    <xf numFmtId="0" fontId="0" fillId="0" borderId="14" xfId="0" applyBorder="1"/>
    <xf numFmtId="0" fontId="0" fillId="0" borderId="2" xfId="0" applyBorder="1"/>
    <xf numFmtId="37" fontId="6" fillId="0" borderId="0" xfId="0" applyAlignment="1" applyFont="1" applyNumberFormat="1">
      <alignment horizontal="left"/>
    </xf>
    <xf numFmtId="0" fontId="6" fillId="0" borderId="0" xfId="0" applyAlignment="1" applyFont="1">
      <alignment horizontal="right"/>
    </xf>
    <xf numFmtId="0" fontId="6" fillId="0" borderId="0" xfId="0" applyAlignment="1" applyFont="1">
      <alignment horizontal="left"/>
    </xf>
    <xf numFmtId="0" fontId="0" fillId="0" borderId="15" xfId="0" applyBorder="1"/>
    <xf numFmtId="0" fontId="0" fillId="0" borderId="16" xfId="0" applyBorder="1"/>
    <xf numFmtId="164" fontId="0" fillId="0" borderId="0" xfId="0" applyAlignment="1" applyNumberForma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37" fontId="1" fillId="0" borderId="12" xfId="25" applyAlignment="1" applyBorder="1" applyFont="1" applyNumberFormat="1" applyFill="1">
      <alignment vertical="center"/>
    </xf>
    <xf numFmtId="165" fontId="9" fillId="0" borderId="12" xfId="4" applyBorder="1" applyFont="1" applyNumberFormat="1" applyProtection="1">
      <protection locked="0"/>
    </xf>
    <xf numFmtId="165" fontId="1" fillId="0" borderId="12" xfId="4" applyBorder="1" applyFont="1" applyNumberFormat="1"/>
    <xf numFmtId="165" fontId="0" fillId="0" borderId="0" xfId="0" applyNumberFormat="1"/>
    <xf numFmtId="166" fontId="5" fillId="11" borderId="12" xfId="17" applyAlignment="1" applyBorder="1" applyFont="1" applyNumberFormat="1" applyFill="1">
      <alignment horizontal="center" vertical="center"/>
    </xf>
    <xf numFmtId="164" fontId="5" fillId="11" borderId="12" xfId="19" applyAlignment="1" applyBorder="1" applyFont="1" applyNumberFormat="1" applyFill="1">
      <alignment horizontal="center" vertical="center"/>
    </xf>
    <xf numFmtId="0" fontId="5" fillId="11" borderId="12" xfId="19" applyAlignment="1" applyBorder="1" applyFont="1" applyFill="1">
      <alignment horizontal="center" vertical="center"/>
    </xf>
    <xf numFmtId="37" fontId="5" fillId="12" borderId="12" xfId="17" applyAlignment="1" applyBorder="1" applyFont="1" applyNumberFormat="1" applyFill="1">
      <alignment horizontal="left" vertical="top" indent="1"/>
    </xf>
    <xf numFmtId="37" fontId="6" fillId="12" borderId="12" xfId="25" applyAlignment="1" applyBorder="1" applyFont="1" applyNumberFormat="1" applyFill="1">
      <alignment horizontal="left" vertical="center" indent="1"/>
    </xf>
    <xf numFmtId="37" fontId="6" fillId="12" borderId="0" xfId="0" applyAlignment="1" applyFont="1" applyNumberFormat="1" applyFill="1">
      <alignment horizontal="left"/>
    </xf>
    <xf numFmtId="0" fontId="6" fillId="12" borderId="0" xfId="0" applyAlignment="1" applyFont="1" applyFill="1">
      <alignment horizontal="right"/>
    </xf>
    <xf numFmtId="0" fontId="0" fillId="12" borderId="0" xfId="0" applyFill="1"/>
    <xf numFmtId="0" fontId="6" fillId="12" borderId="0" xfId="0" applyAlignment="1" applyFont="1" applyFill="1">
      <alignment horizontal="left"/>
    </xf>
    <xf numFmtId="0" fontId="25" fillId="12" borderId="7" xfId="0" applyBorder="1" applyFont="1" applyFill="1"/>
    <xf numFmtId="165" fontId="25" fillId="12" borderId="7" xfId="0" applyBorder="1" applyFont="1" applyNumberFormat="1" applyFill="1"/>
    <xf numFmtId="0" fontId="25" fillId="13" borderId="7" xfId="0" applyBorder="1" applyFont="1" applyFill="1"/>
    <xf numFmtId="165" fontId="25" fillId="13" borderId="7" xfId="0" applyBorder="1" applyFont="1" applyNumberFormat="1" applyFill="1"/>
    <xf numFmtId="2" fontId="22" fillId="0" borderId="0" xfId="27" applyFont="1" applyNumberFormat="1"/>
    <xf numFmtId="6" fontId="21" fillId="0" borderId="0" xfId="0" applyAlignment="1" applyFont="1" applyNumberFormat="1">
      <alignment vertical="center"/>
    </xf>
    <xf numFmtId="0" fontId="21" fillId="0" borderId="0" xfId="0" applyAlignment="1" applyFont="1">
      <alignment vertical="center"/>
    </xf>
    <xf numFmtId="0" fontId="21" fillId="0" borderId="0" xfId="0" applyFont="1"/>
    <xf numFmtId="2" fontId="29" fillId="0" borderId="0" xfId="27" applyFont="1" applyNumberFormat="1"/>
    <xf numFmtId="0" fontId="24" fillId="12" borderId="0" xfId="0" applyFont="1" applyFill="1"/>
    <xf numFmtId="0" fontId="32" fillId="0" borderId="0" xfId="40" applyFont="1"/>
    <xf numFmtId="0" fontId="23" fillId="14" borderId="19" xfId="0" applyAlignment="1" applyBorder="1" applyFont="1" applyFill="1">
      <alignment horizontal="center" vertical="center"/>
    </xf>
    <xf numFmtId="0" fontId="0" fillId="0" borderId="0" xfId="0" applyAlignment="1">
      <alignment horizontal="center" vertical="center"/>
    </xf>
    <xf numFmtId="0" fontId="26" fillId="14" borderId="19" xfId="0" applyAlignment="1" applyBorder="1" applyFont="1" applyFill="1">
      <alignment horizontal="center" vertical="center"/>
    </xf>
    <xf numFmtId="6" fontId="28" fillId="0" borderId="0" xfId="0" applyAlignment="1" applyFont="1" applyNumberFormat="1">
      <alignment horizontal="center" vertical="center"/>
    </xf>
    <xf numFmtId="2" fontId="27" fillId="0" borderId="0" xfId="27" applyAlignment="1" applyFont="1" applyNumberFormat="1">
      <alignment horizontal="center" vertical="center"/>
    </xf>
    <xf numFmtId="0" fontId="28" fillId="0" borderId="0" xfId="0" applyAlignment="1" applyFont="1">
      <alignment horizontal="center"/>
    </xf>
    <xf numFmtId="0" fontId="28" fillId="0" borderId="0" xfId="0" applyAlignment="1" applyFont="1">
      <alignment horizontal="center" vertical="center"/>
    </xf>
    <xf numFmtId="0" fontId="31" fillId="14" borderId="1" xfId="0" applyAlignment="1" applyBorder="1" applyFont="1" applyFill="1">
      <alignment horizontal="center" vertical="center"/>
    </xf>
    <xf numFmtId="0" fontId="0" fillId="14" borderId="0" xfId="0" applyFill="1"/>
    <xf numFmtId="0" fontId="0" fillId="14" borderId="9" xfId="0" applyBorder="1" applyFill="1"/>
    <xf numFmtId="2" fontId="30" fillId="0" borderId="0" xfId="27" applyAlignment="1" applyFont="1" applyNumberFormat="1">
      <alignment horizontal="left"/>
    </xf>
    <xf numFmtId="2" fontId="33" fillId="0" borderId="0" xfId="27" applyFont="1" applyNumberFormat="1"/>
    <xf numFmtId="44" fontId="0" fillId="0" borderId="0" xfId="41" applyFont="1" applyNumberFormat="1"/>
    <xf numFmtId="44" fontId="25" fillId="12" borderId="7" xfId="41" applyBorder="1" applyFont="1" applyNumberFormat="1" applyFill="1"/>
    <xf numFmtId="44" fontId="6" fillId="0" borderId="12" xfId="41" applyBorder="1" applyFont="1" applyNumberFormat="1"/>
    <xf numFmtId="44" fontId="1" fillId="0" borderId="12" xfId="41" applyBorder="1" applyFont="1" applyNumberFormat="1"/>
    <xf numFmtId="44" fontId="1" fillId="0" borderId="12" xfId="41" applyBorder="1" applyFont="1" applyNumberFormat="1" applyProtection="1">
      <protection locked="0"/>
    </xf>
    <xf numFmtId="44" fontId="25" fillId="12" borderId="13" xfId="41" applyBorder="1" applyFont="1" applyNumberFormat="1" applyFill="1"/>
    <xf numFmtId="44" fontId="6" fillId="12" borderId="12" xfId="41" applyBorder="1" applyFont="1" applyNumberFormat="1" applyFill="1"/>
    <xf numFmtId="44" fontId="25" fillId="13" borderId="7" xfId="41" applyBorder="1" applyFont="1" applyNumberFormat="1" applyFill="1"/>
    <xf numFmtId="44" fontId="6" fillId="12" borderId="0" xfId="41" applyAlignment="1" applyFont="1" applyNumberFormat="1" applyFill="1">
      <alignment horizontal="right"/>
    </xf>
    <xf numFmtId="44" fontId="6" fillId="0" borderId="0" xfId="41" applyAlignment="1" applyFont="1" applyNumberFormat="1">
      <alignment horizontal="right"/>
    </xf>
    <xf numFmtId="44" fontId="6" fillId="12" borderId="0" xfId="41" applyAlignment="1" applyFont="1" applyNumberFormat="1" applyFill="1">
      <alignment horizontal="left"/>
    </xf>
    <xf numFmtId="44" fontId="6" fillId="0" borderId="0" xfId="41" applyAlignment="1" applyFont="1" applyNumberFormat="1">
      <alignment horizontal="left"/>
    </xf>
    <xf numFmtId="44" fontId="9" fillId="0" borderId="12" xfId="41" applyBorder="1" applyFont="1" applyNumberFormat="1" applyProtection="1">
      <protection locked="0"/>
    </xf>
  </cellXfs>
  <cellStyles count="42">
    <cellStyle name="amount" xfId="1"/>
    <cellStyle name="Blank" xfId="2"/>
    <cellStyle name="Body text" xfId="3"/>
    <cellStyle name="Comma 2" xfId="4"/>
    <cellStyle name="Comma0" xfId="5"/>
    <cellStyle name="Currency" xfId="41" builtinId="4"/>
    <cellStyle name="Currency0" xfId="6"/>
    <cellStyle name="DarkBlueOutline" xfId="7"/>
    <cellStyle name="DarkBlueOutlineYellow" xfId="8"/>
    <cellStyle name="Date" xfId="9"/>
    <cellStyle name="Dezimal [0]_Compiling Utility Macros" xfId="10"/>
    <cellStyle name="Dezimal_Compiling Utility Macros" xfId="11"/>
    <cellStyle name="Fixed" xfId="12"/>
    <cellStyle name="GRAY" xfId="13"/>
    <cellStyle name="Gross Margin" xfId="14"/>
    <cellStyle name="header" xfId="15"/>
    <cellStyle name="Header Total" xfId="16"/>
    <cellStyle name="Header1" xfId="17"/>
    <cellStyle name="Header2" xfId="18"/>
    <cellStyle name="Header3" xfId="19"/>
    <cellStyle name="Heading 1 2" xfId="20"/>
    <cellStyle name="Heading 2 2" xfId="21"/>
    <cellStyle name="Hyperlink" xfId="40" builtinId="8"/>
    <cellStyle name="Level 2 Total" xfId="22"/>
    <cellStyle name="Major Total" xfId="23"/>
    <cellStyle name="NonPrint_TemTitle" xfId="24"/>
    <cellStyle name="Normal" xfId="0" builtinId="0"/>
    <cellStyle name="Normal 2" xfId="25"/>
    <cellStyle name="Normal 3" xfId="26"/>
    <cellStyle name="Normal_StockPortfolio (2)" xfId="27"/>
    <cellStyle name="NormalRed" xfId="28"/>
    <cellStyle name="Percent 2" xfId="29"/>
    <cellStyle name="Percent.0" xfId="30"/>
    <cellStyle name="Percent.00" xfId="31"/>
    <cellStyle name="RED POSTED" xfId="32"/>
    <cellStyle name="Standard_Anpassen der Amortisation" xfId="33"/>
    <cellStyle name="Text" xfId="34"/>
    <cellStyle name="TmsRmn10BlueItalic" xfId="35"/>
    <cellStyle name="TmsRmn10Bold" xfId="36"/>
    <cellStyle name="Total 2" xfId="37"/>
    <cellStyle name="Währung [0]_Compiling Utility Macros" xfId="38"/>
    <cellStyle name="Währung_Compiling Utility Macros" xfId="39"/>
  </cellStyles>
  <dxfs count="7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 /><Relationship Id="rId6" Type="http://schemas.openxmlformats.org/officeDocument/2006/relationships/worksheet" Target="worksheets/sheet6.xml" /><Relationship Id="rId2" Type="http://schemas.openxmlformats.org/officeDocument/2006/relationships/worksheet" Target="worksheets/sheet2.xml" /><Relationship Id="rId7" Type="http://schemas.openxmlformats.org/officeDocument/2006/relationships/worksheet" Target="worksheets/sheet7.xml" /><Relationship Id="rId3" Type="http://schemas.openxmlformats.org/officeDocument/2006/relationships/worksheet" Target="worksheets/sheet3.xml" /><Relationship Id="rId1" Type="http://schemas.openxmlformats.org/officeDocument/2006/relationships/worksheet" Target="worksheets/sheet1.xml" /><Relationship Id="rId4" Type="http://schemas.openxmlformats.org/officeDocument/2006/relationships/worksheet" Target="worksheets/sheet4.xml" /><Relationship Id="rId10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9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Table1" displayName="Table1" ref="A2:E14" totalsRowShown="0" dataDxfId="5">
  <autoFilter ref="A2:E14"/>
  <tableColumns>
    <tableColumn id="1" name="Product1"/>
    <tableColumn id="2" name="Product2"/>
    <tableColumn id="3" name="Product3"/>
    <tableColumn id="4" name="Product4"/>
    <tableColumn id="5" name="Product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30"/>
  <sheetViews>
    <sheetView topLeftCell="A1" view="normal" tabSelected="1" workbookViewId="0">
      <pane xSplit="1" ySplit="1" topLeftCell="B2" activePane="bottomRight" state="frozen"/>
      <selection pane="bottomRight" activeCell="A1" sqref="A1"/>
    </sheetView>
  </sheetViews>
  <sheetFormatPr defaultRowHeight="14.4"/>
  <cols>
    <col min="1" max="1" width="28.5703125" customWidth="1"/>
    <col min="2" max="4" width="14.41796875" customWidth="1"/>
    <col min="5" max="12" width="17.84765625" customWidth="1"/>
    <col min="13" max="13" width="14.41796875" customWidth="1"/>
    <col min="14" max="14" width="17.84765625" customWidth="1"/>
  </cols>
  <sheetData>
    <row r="1" spans="1:17" ht="39.9" customHeight="1">
      <c r="A1" s="40"/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1"/>
      <c r="P1" s="41"/>
      <c r="Q1" s="41"/>
    </row>
    <row r="2" spans="1:14" ht="18" customHeight="1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2" t="s">
        <v>14</v>
      </c>
    </row>
    <row r="3" spans="1:14" ht="17.1" customHeight="1">
      <c r="A3" s="39" t="s">
        <v>15</v>
      </c>
      <c r="B3" s="56">
        <v>5600</v>
      </c>
      <c r="C3" s="56">
        <v>6350</v>
      </c>
      <c r="D3" s="56">
        <v>5100</v>
      </c>
      <c r="E3" s="56">
        <v>6850</v>
      </c>
      <c r="F3" s="56">
        <v>8600</v>
      </c>
      <c r="G3" s="56">
        <v>8850</v>
      </c>
      <c r="H3" s="56">
        <v>12100</v>
      </c>
      <c r="I3" s="56">
        <v>13850</v>
      </c>
      <c r="J3" s="56">
        <v>16600</v>
      </c>
      <c r="K3" s="56">
        <v>19100</v>
      </c>
      <c r="L3" s="56">
        <v>21600</v>
      </c>
      <c r="M3" s="56">
        <v>24100</v>
      </c>
      <c r="N3" s="55">
        <f>SUM(B3:M3)</f>
        <v>148700</v>
      </c>
    </row>
    <row r="4" spans="1:14" ht="17.1" customHeight="1">
      <c r="A4" s="16" t="s">
        <v>16</v>
      </c>
      <c r="B4" s="56">
        <v>4790</v>
      </c>
      <c r="C4" s="56">
        <v>5678</v>
      </c>
      <c r="D4" s="56">
        <v>4754</v>
      </c>
      <c r="E4" s="56">
        <v>6501</v>
      </c>
      <c r="F4" s="56">
        <v>7744</v>
      </c>
      <c r="G4" s="56">
        <v>8645</v>
      </c>
      <c r="H4" s="56">
        <v>10976</v>
      </c>
      <c r="I4" s="56">
        <v>11232</v>
      </c>
      <c r="J4" s="56">
        <v>14323</v>
      </c>
      <c r="K4" s="56">
        <v>15434</v>
      </c>
      <c r="L4" s="56">
        <v>16543</v>
      </c>
      <c r="M4" s="56">
        <v>17896</v>
      </c>
      <c r="N4" s="55">
        <f>SUM(B4:M4)</f>
        <v>124516</v>
      </c>
    </row>
    <row r="5" spans="2:14" ht="17.1" customHeight="1">
      <c r="B5" s="17"/>
      <c r="C5" s="17"/>
      <c r="D5" s="17"/>
      <c r="E5" s="17"/>
      <c r="F5" s="64"/>
      <c r="G5" s="64"/>
      <c r="H5" s="64"/>
      <c r="I5" s="64"/>
      <c r="J5" s="64"/>
      <c r="K5" s="64"/>
      <c r="L5" s="64"/>
      <c r="M5" s="64"/>
      <c r="N5" s="55"/>
    </row>
    <row r="6" spans="1:14" ht="17.1" customHeight="1">
      <c r="A6" s="16" t="s">
        <v>17</v>
      </c>
      <c r="B6" s="54">
        <f>B3-B4</f>
        <v>810</v>
      </c>
      <c r="C6" s="54">
        <f>C3-C4</f>
        <v>672</v>
      </c>
      <c r="D6" s="54">
        <f>D3-D4</f>
        <v>346</v>
      </c>
      <c r="E6" s="54">
        <f>E3-E4</f>
        <v>349</v>
      </c>
      <c r="F6" s="54">
        <f>F3-F4</f>
        <v>856</v>
      </c>
      <c r="G6" s="54">
        <f>G3-G4</f>
        <v>205</v>
      </c>
      <c r="H6" s="54">
        <f>H3-H4</f>
        <v>1124</v>
      </c>
      <c r="I6" s="54">
        <f>I3-I4</f>
        <v>2618</v>
      </c>
      <c r="J6" s="54">
        <f>J3-J4</f>
        <v>2277</v>
      </c>
      <c r="K6" s="54">
        <f>K3-K4</f>
        <v>3666</v>
      </c>
      <c r="L6" s="54">
        <f>L3-L4</f>
        <v>5057</v>
      </c>
      <c r="M6" s="54">
        <f>M3-M4</f>
        <v>6204</v>
      </c>
      <c r="N6" s="54">
        <f>N3-N4</f>
        <v>24184</v>
      </c>
    </row>
    <row r="7" spans="1:14" ht="17.1" customHeight="1">
      <c r="A7" s="1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spans="1:14" ht="17.1" customHeight="1">
      <c r="A8" s="39" t="s">
        <v>18</v>
      </c>
      <c r="B8" s="56">
        <v>5600</v>
      </c>
      <c r="C8" s="56">
        <v>6350</v>
      </c>
      <c r="D8" s="56">
        <v>16400</v>
      </c>
      <c r="E8" s="56">
        <v>16830</v>
      </c>
      <c r="F8" s="56">
        <v>19260</v>
      </c>
      <c r="G8" s="56">
        <v>17690</v>
      </c>
      <c r="H8" s="56">
        <v>15600</v>
      </c>
      <c r="I8" s="56">
        <v>17350</v>
      </c>
      <c r="J8" s="56">
        <v>10600</v>
      </c>
      <c r="K8" s="56">
        <v>11350</v>
      </c>
      <c r="L8" s="56">
        <v>10100</v>
      </c>
      <c r="M8" s="56">
        <v>13850</v>
      </c>
      <c r="N8" s="55">
        <f>SUM(B8:M8)</f>
        <v>160980</v>
      </c>
    </row>
    <row r="9" spans="1:14" ht="17.1" customHeight="1">
      <c r="A9" s="16" t="s">
        <v>16</v>
      </c>
      <c r="B9" s="56">
        <v>4595</v>
      </c>
      <c r="C9" s="56">
        <v>5678</v>
      </c>
      <c r="D9" s="56">
        <v>9754</v>
      </c>
      <c r="E9" s="56">
        <v>9168</v>
      </c>
      <c r="F9" s="56">
        <v>18747.5</v>
      </c>
      <c r="G9" s="56">
        <v>14327</v>
      </c>
      <c r="H9" s="56">
        <v>14906.5</v>
      </c>
      <c r="I9" s="56">
        <v>15486</v>
      </c>
      <c r="J9" s="56">
        <v>9065.5</v>
      </c>
      <c r="K9" s="56">
        <v>10645</v>
      </c>
      <c r="L9" s="56">
        <v>8224.5</v>
      </c>
      <c r="M9" s="56">
        <v>12804</v>
      </c>
      <c r="N9" s="55">
        <f>SUM(B9:M9)</f>
        <v>133401</v>
      </c>
    </row>
    <row r="10" spans="1:14" ht="17.1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</row>
    <row r="11" spans="1:14" ht="17.1" customHeight="1">
      <c r="A11" s="16" t="s">
        <v>17</v>
      </c>
      <c r="B11" s="54">
        <f>B8-B9</f>
        <v>1005</v>
      </c>
      <c r="C11" s="54">
        <f>C8-C9</f>
        <v>672</v>
      </c>
      <c r="D11" s="54">
        <f>D8-D9</f>
        <v>6646</v>
      </c>
      <c r="E11" s="54">
        <f>E8-E9</f>
        <v>7662</v>
      </c>
      <c r="F11" s="54">
        <f>F8-F9</f>
        <v>512.5</v>
      </c>
      <c r="G11" s="54">
        <f>G8-G9</f>
        <v>3363</v>
      </c>
      <c r="H11" s="54">
        <f>H8-H9</f>
        <v>693.5</v>
      </c>
      <c r="I11" s="54">
        <f>I8-I9</f>
        <v>1864</v>
      </c>
      <c r="J11" s="54">
        <f>J8-J9</f>
        <v>1534.5</v>
      </c>
      <c r="K11" s="54">
        <f>K8-K9</f>
        <v>705</v>
      </c>
      <c r="L11" s="54">
        <f>L8-L9</f>
        <v>1875.5</v>
      </c>
      <c r="M11" s="54">
        <f>M8-M9</f>
        <v>1046</v>
      </c>
      <c r="N11" s="54">
        <f>N8-N9</f>
        <v>27579</v>
      </c>
    </row>
    <row r="12" spans="1:14" ht="17.1" customHeight="1">
      <c r="A12" s="1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14" ht="17.1" customHeight="1">
      <c r="A13" s="39" t="s">
        <v>19</v>
      </c>
      <c r="B13" s="56">
        <v>14600</v>
      </c>
      <c r="C13" s="56">
        <v>25350</v>
      </c>
      <c r="D13" s="56">
        <v>25100</v>
      </c>
      <c r="E13" s="56">
        <v>26850</v>
      </c>
      <c r="F13" s="56">
        <v>32100</v>
      </c>
      <c r="G13" s="56">
        <v>35750</v>
      </c>
      <c r="H13" s="56">
        <v>39400</v>
      </c>
      <c r="I13" s="56">
        <v>43050</v>
      </c>
      <c r="J13" s="56">
        <v>46700</v>
      </c>
      <c r="K13" s="56">
        <v>50350</v>
      </c>
      <c r="L13" s="56">
        <v>54000</v>
      </c>
      <c r="M13" s="56">
        <v>57650</v>
      </c>
      <c r="N13" s="55">
        <f>SUM(B13:M13)</f>
        <v>450900</v>
      </c>
    </row>
    <row r="14" spans="1:14" ht="17.1" customHeight="1">
      <c r="A14" s="16" t="s">
        <v>16</v>
      </c>
      <c r="B14" s="56">
        <v>5895</v>
      </c>
      <c r="C14" s="56">
        <v>3678</v>
      </c>
      <c r="D14" s="56">
        <v>5754</v>
      </c>
      <c r="E14" s="56">
        <v>7501</v>
      </c>
      <c r="F14" s="56">
        <v>9430</v>
      </c>
      <c r="G14" s="56">
        <v>11319</v>
      </c>
      <c r="H14" s="56">
        <v>13209</v>
      </c>
      <c r="I14" s="56">
        <v>15098</v>
      </c>
      <c r="J14" s="56">
        <v>16988</v>
      </c>
      <c r="K14" s="56">
        <v>18877</v>
      </c>
      <c r="L14" s="56">
        <v>20766</v>
      </c>
      <c r="M14" s="56">
        <v>22656</v>
      </c>
      <c r="N14" s="55">
        <f>SUM(B14:M14)</f>
        <v>151171</v>
      </c>
    </row>
    <row r="15" spans="1:14" ht="17.1" customHeight="1">
      <c r="A15" s="1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5"/>
    </row>
    <row r="16" spans="1:14" ht="17.1" customHeight="1">
      <c r="A16" s="16" t="s">
        <v>17</v>
      </c>
      <c r="B16" s="54">
        <f>B13-B14</f>
        <v>8705</v>
      </c>
      <c r="C16" s="54">
        <f>C13-C14</f>
        <v>21672</v>
      </c>
      <c r="D16" s="54">
        <f>D13-D14</f>
        <v>19346</v>
      </c>
      <c r="E16" s="54">
        <f>E13-E14</f>
        <v>19349</v>
      </c>
      <c r="F16" s="54">
        <f>F13-F14</f>
        <v>22670</v>
      </c>
      <c r="G16" s="54">
        <f>G13-G14</f>
        <v>24431</v>
      </c>
      <c r="H16" s="54">
        <f>H13-H14</f>
        <v>26191</v>
      </c>
      <c r="I16" s="54">
        <f>I13-I14</f>
        <v>27952</v>
      </c>
      <c r="J16" s="54">
        <f>J13-J14</f>
        <v>29712</v>
      </c>
      <c r="K16" s="54">
        <f>K13-K14</f>
        <v>31473</v>
      </c>
      <c r="L16" s="54">
        <f>L13-L14</f>
        <v>33234</v>
      </c>
      <c r="M16" s="54">
        <f>M13-M14</f>
        <v>34994</v>
      </c>
      <c r="N16" s="54">
        <f>N13-N14</f>
        <v>299729</v>
      </c>
    </row>
    <row r="17" spans="1:14" ht="17.1" customHeight="1">
      <c r="A17" s="1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14" ht="17.1" customHeight="1">
      <c r="A18" s="39" t="s">
        <v>20</v>
      </c>
      <c r="B18" s="56">
        <v>16850</v>
      </c>
      <c r="C18" s="56">
        <v>17690</v>
      </c>
      <c r="D18" s="56">
        <v>18830</v>
      </c>
      <c r="E18" s="56">
        <v>19260</v>
      </c>
      <c r="F18" s="56">
        <v>20690</v>
      </c>
      <c r="G18" s="56">
        <v>21439</v>
      </c>
      <c r="H18" s="56">
        <v>22364</v>
      </c>
      <c r="I18" s="56">
        <v>23289</v>
      </c>
      <c r="J18" s="56">
        <v>24214</v>
      </c>
      <c r="K18" s="56">
        <v>25139</v>
      </c>
      <c r="L18" s="56">
        <v>26064</v>
      </c>
      <c r="M18" s="56">
        <v>26989</v>
      </c>
      <c r="N18" s="55">
        <f>SUM(B18:M18)</f>
        <v>262818</v>
      </c>
    </row>
    <row r="19" spans="1:14" ht="17.1" customHeight="1">
      <c r="A19" s="16" t="s">
        <v>16</v>
      </c>
      <c r="B19" s="56">
        <v>8895</v>
      </c>
      <c r="C19" s="56">
        <v>14678</v>
      </c>
      <c r="D19" s="56">
        <v>7754</v>
      </c>
      <c r="E19" s="56">
        <v>6501</v>
      </c>
      <c r="F19" s="56">
        <v>9430</v>
      </c>
      <c r="G19" s="56">
        <v>11319</v>
      </c>
      <c r="H19" s="56">
        <v>13209</v>
      </c>
      <c r="I19" s="56">
        <v>15098</v>
      </c>
      <c r="J19" s="56">
        <v>16988</v>
      </c>
      <c r="K19" s="56">
        <v>18877</v>
      </c>
      <c r="L19" s="56">
        <v>20766</v>
      </c>
      <c r="M19" s="56">
        <v>22656</v>
      </c>
      <c r="N19" s="55">
        <f>SUM(B19:M19)</f>
        <v>166171</v>
      </c>
    </row>
    <row r="20" spans="1:14" ht="17.1" customHeight="1">
      <c r="A20" s="1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5"/>
    </row>
    <row r="21" spans="1:14" ht="17.1" customHeight="1">
      <c r="A21" s="16" t="s">
        <v>17</v>
      </c>
      <c r="B21" s="54">
        <f>B18-B19</f>
        <v>7955</v>
      </c>
      <c r="C21" s="54">
        <f>C18-C19</f>
        <v>3012</v>
      </c>
      <c r="D21" s="54">
        <f>D18-D19</f>
        <v>11076</v>
      </c>
      <c r="E21" s="54">
        <f>E18-E19</f>
        <v>12759</v>
      </c>
      <c r="F21" s="54">
        <f>F18-F19</f>
        <v>11260</v>
      </c>
      <c r="G21" s="54">
        <f>G18-G19</f>
        <v>10120</v>
      </c>
      <c r="H21" s="54">
        <f>H18-H19</f>
        <v>9155</v>
      </c>
      <c r="I21" s="54">
        <f>I18-I19</f>
        <v>8191</v>
      </c>
      <c r="J21" s="54">
        <f>J18-J19</f>
        <v>7226</v>
      </c>
      <c r="K21" s="54">
        <f>K18-K19</f>
        <v>6262</v>
      </c>
      <c r="L21" s="54">
        <f>L18-L19</f>
        <v>5298</v>
      </c>
      <c r="M21" s="54">
        <f>M18-M19</f>
        <v>4333</v>
      </c>
      <c r="N21" s="54">
        <f>N18-N19</f>
        <v>96647</v>
      </c>
    </row>
    <row r="22" spans="1:14" ht="17.1" customHeight="1">
      <c r="A22" s="1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</row>
    <row r="23" spans="1:14" ht="17.1" customHeight="1">
      <c r="A23" s="39" t="s">
        <v>21</v>
      </c>
      <c r="B23" s="56">
        <v>78600</v>
      </c>
      <c r="C23" s="56">
        <v>88750</v>
      </c>
      <c r="D23" s="56">
        <v>89002</v>
      </c>
      <c r="E23" s="56">
        <v>86850</v>
      </c>
      <c r="F23" s="56">
        <v>96400</v>
      </c>
      <c r="G23" s="56">
        <v>106830</v>
      </c>
      <c r="H23" s="56">
        <v>127260</v>
      </c>
      <c r="I23" s="56">
        <v>137690</v>
      </c>
      <c r="J23" s="56">
        <v>167273</v>
      </c>
      <c r="K23" s="56">
        <v>165240</v>
      </c>
      <c r="L23" s="56">
        <v>193207</v>
      </c>
      <c r="M23" s="56">
        <v>196174</v>
      </c>
      <c r="N23" s="55">
        <f>SUM(B23:M23)</f>
        <v>1533276</v>
      </c>
    </row>
    <row r="24" spans="1:14" ht="17.1" customHeight="1">
      <c r="A24" s="16" t="s">
        <v>16</v>
      </c>
      <c r="B24" s="56">
        <v>68595</v>
      </c>
      <c r="C24" s="56">
        <v>78595</v>
      </c>
      <c r="D24" s="56">
        <v>78754</v>
      </c>
      <c r="E24" s="56">
        <v>86501</v>
      </c>
      <c r="F24" s="56">
        <v>77744</v>
      </c>
      <c r="G24" s="56">
        <v>99845</v>
      </c>
      <c r="H24" s="56">
        <v>115976</v>
      </c>
      <c r="I24" s="56">
        <v>126232</v>
      </c>
      <c r="J24" s="56">
        <v>162323</v>
      </c>
      <c r="K24" s="56">
        <v>155434</v>
      </c>
      <c r="L24" s="56">
        <v>192543</v>
      </c>
      <c r="M24" s="56">
        <v>194896</v>
      </c>
      <c r="N24" s="55">
        <f>SUM(B24:M24)</f>
        <v>1437438</v>
      </c>
    </row>
    <row r="25" spans="1:14" ht="17.1" customHeight="1">
      <c r="A25" s="1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5"/>
    </row>
    <row r="26" spans="1:14" ht="17.1" customHeight="1">
      <c r="A26" s="16" t="s">
        <v>17</v>
      </c>
      <c r="B26" s="54">
        <f>B23-B24</f>
        <v>10005</v>
      </c>
      <c r="C26" s="54">
        <f>C23-C24</f>
        <v>10155</v>
      </c>
      <c r="D26" s="54">
        <f>D23-D24</f>
        <v>10248</v>
      </c>
      <c r="E26" s="54">
        <f>E23-E24</f>
        <v>349</v>
      </c>
      <c r="F26" s="54">
        <f>F23-F24</f>
        <v>18656</v>
      </c>
      <c r="G26" s="54">
        <f>G23-G24</f>
        <v>6985</v>
      </c>
      <c r="H26" s="54">
        <f>H23-H24</f>
        <v>11284</v>
      </c>
      <c r="I26" s="54">
        <f>I23-I24</f>
        <v>11458</v>
      </c>
      <c r="J26" s="54">
        <f>J23-J24</f>
        <v>4950</v>
      </c>
      <c r="K26" s="54">
        <f>K23-K24</f>
        <v>9806</v>
      </c>
      <c r="L26" s="54">
        <f>L23-L24</f>
        <v>664</v>
      </c>
      <c r="M26" s="54">
        <f>M23-M24</f>
        <v>1278</v>
      </c>
      <c r="N26" s="54">
        <f>N23-N24</f>
        <v>95838</v>
      </c>
    </row>
    <row r="27" spans="1:14" ht="17.1" customHeight="1">
      <c r="A27" s="1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14" ht="17.1" customHeight="1">
      <c r="A28" s="23" t="s">
        <v>22</v>
      </c>
      <c r="B28" s="57">
        <f>B3+B8+B13+B18+B23</f>
        <v>121250</v>
      </c>
      <c r="C28" s="57">
        <f>C3+C8+C13+C18+C23</f>
        <v>144490</v>
      </c>
      <c r="D28" s="57">
        <f>D3+D8+D13+D18+D23</f>
        <v>154432</v>
      </c>
      <c r="E28" s="57">
        <f>E3+E8+E13+E18+E23</f>
        <v>156640</v>
      </c>
      <c r="F28" s="57">
        <f>F3+F8+F13+F18+F23</f>
        <v>177050</v>
      </c>
      <c r="G28" s="57">
        <f>G3+G8+G13+G18+G23</f>
        <v>190559</v>
      </c>
      <c r="H28" s="57">
        <f>H3+H8+H13+H18+H23</f>
        <v>216724</v>
      </c>
      <c r="I28" s="57">
        <f>I3+I8+I13+I18+I23</f>
        <v>235229</v>
      </c>
      <c r="J28" s="57">
        <f>J3+J8+J13+J18+J23</f>
        <v>265387</v>
      </c>
      <c r="K28" s="57">
        <f>K3+K8+K13+K18+K23</f>
        <v>271179</v>
      </c>
      <c r="L28" s="57">
        <f>L3+L8+L13+L18+L23</f>
        <v>304971</v>
      </c>
      <c r="M28" s="57">
        <f>M3+M8+M13+M18+M23</f>
        <v>318763</v>
      </c>
      <c r="N28" s="58">
        <f>SUM(B28:M28)</f>
        <v>2556674</v>
      </c>
    </row>
    <row r="29" spans="1:14" ht="17.1" customHeight="1">
      <c r="A29" s="23" t="s">
        <v>23</v>
      </c>
      <c r="B29" s="58">
        <f>B4+B9+B14+B19+B24</f>
        <v>92770</v>
      </c>
      <c r="C29" s="58">
        <f>C4+C9+C14+C19+C24</f>
        <v>108307</v>
      </c>
      <c r="D29" s="58">
        <f>D4+D9+D14+D19+D24</f>
        <v>106770</v>
      </c>
      <c r="E29" s="58">
        <f>E4+E9+E14+E19+E24</f>
        <v>116172</v>
      </c>
      <c r="F29" s="58">
        <f>F4+F9+F14+F19+F24</f>
        <v>123095.5</v>
      </c>
      <c r="G29" s="58">
        <f>G4+G9+G14+G19+G24</f>
        <v>145455</v>
      </c>
      <c r="H29" s="58">
        <f>H4+H9+H14+H19+H24</f>
        <v>168276.5</v>
      </c>
      <c r="I29" s="58">
        <f>I4+I9+I14+I19+I24</f>
        <v>183146</v>
      </c>
      <c r="J29" s="58">
        <f>J4+J9+J14+J19+J24</f>
        <v>219687.5</v>
      </c>
      <c r="K29" s="58">
        <f>K4+K9+K14+K19+K24</f>
        <v>219267</v>
      </c>
      <c r="L29" s="58">
        <f>L4+L9+L14+L19+L24</f>
        <v>258842.5</v>
      </c>
      <c r="M29" s="58">
        <f>M4+M9+M14+M19+M24</f>
        <v>270908</v>
      </c>
      <c r="N29" s="58">
        <f>SUM(B29:M29)</f>
        <v>2012697</v>
      </c>
    </row>
    <row r="30" spans="1:14" ht="17.1" customHeight="1">
      <c r="A30" s="24" t="s">
        <v>24</v>
      </c>
      <c r="B30" s="58">
        <f>B28-B29</f>
        <v>28480</v>
      </c>
      <c r="C30" s="58">
        <f>C28-C29</f>
        <v>36183</v>
      </c>
      <c r="D30" s="58">
        <f>D28-D29</f>
        <v>47662</v>
      </c>
      <c r="E30" s="58">
        <f>E28-E29</f>
        <v>40468</v>
      </c>
      <c r="F30" s="58">
        <f>F28-F29</f>
        <v>53954.5</v>
      </c>
      <c r="G30" s="58">
        <f>G28-G29</f>
        <v>45104</v>
      </c>
      <c r="H30" s="58">
        <f>H28-H29</f>
        <v>48447.5</v>
      </c>
      <c r="I30" s="58">
        <f>I28-I29</f>
        <v>52083</v>
      </c>
      <c r="J30" s="58">
        <f>J28-J29</f>
        <v>45699.5</v>
      </c>
      <c r="K30" s="58">
        <f>K28-K29</f>
        <v>51912</v>
      </c>
      <c r="L30" s="58">
        <f>L28-L29</f>
        <v>46128.5</v>
      </c>
      <c r="M30" s="58">
        <f>M28-M29</f>
        <v>47855</v>
      </c>
      <c r="N30" s="58">
        <f>N28-N29</f>
        <v>543977</v>
      </c>
    </row>
  </sheetData>
  <hyperlinks>
    <hyperlink ref="A3" location="Product1!A1" display="Product 1"/>
    <hyperlink ref="A8" location="Product2!A1" display="Product 2"/>
    <hyperlink ref="A13" location="Product3!A1" display="Product 3"/>
    <hyperlink ref="A18" location="Product4!A1" display="Product 4"/>
    <hyperlink ref="A23" location="Product5!A1" display="Product 5"/>
  </hyperlinks>
  <pageMargins left="0.7" right="0.7" top="0.75" bottom="0.75" header="0.3" footer="0.3"/>
  <pageSetup orientation="portrait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F5:J33"/>
  <sheetViews>
    <sheetView topLeftCell="A5" view="normal" workbookViewId="0">
      <selection pane="topLeft" activeCell="J15" sqref="J15:J28"/>
    </sheetView>
  </sheetViews>
  <sheetFormatPr defaultRowHeight="14.4"/>
  <cols>
    <col min="5" max="5" width="6" customWidth="1"/>
    <col min="6" max="6" width="8.140625" customWidth="1"/>
    <col min="7" max="7" width="12.7109375" customWidth="1"/>
    <col min="8" max="8" width="37.41796875" customWidth="1"/>
    <col min="9" max="10" width="11.41796875" customWidth="1"/>
    <col min="11" max="11" width="9" customWidth="1"/>
  </cols>
  <sheetData>
    <row r="1" spans="1:16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5" customHeight="1">
      <c r="A2" s="33"/>
      <c r="B2" s="33"/>
      <c r="C2" s="33"/>
      <c r="D2" s="34"/>
      <c r="E2" s="35"/>
      <c r="F2" s="35"/>
      <c r="G2" s="35"/>
      <c r="H2" s="35"/>
      <c r="I2" s="35"/>
      <c r="J2" s="35"/>
      <c r="K2" s="35"/>
      <c r="L2" s="35"/>
      <c r="M2" s="35"/>
      <c r="N2" s="33"/>
      <c r="O2" s="33"/>
      <c r="P2" s="33"/>
    </row>
    <row r="3" spans="1:16" ht="15" customHeight="1">
      <c r="A3" s="33"/>
      <c r="B3" s="33"/>
      <c r="C3" s="33"/>
      <c r="D3" s="35"/>
      <c r="E3" s="35"/>
      <c r="F3" s="35"/>
      <c r="G3" s="35"/>
      <c r="H3" s="35"/>
      <c r="I3" s="35"/>
      <c r="J3" s="35"/>
      <c r="K3" s="35"/>
      <c r="L3" s="35"/>
      <c r="M3" s="35"/>
      <c r="N3" s="33"/>
      <c r="O3" s="33"/>
      <c r="P3" s="33"/>
    </row>
    <row r="4" spans="1:16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ht="30" customHeight="1">
      <c r="A5" s="33"/>
      <c r="B5" s="33"/>
      <c r="C5" s="33"/>
      <c r="H5" s="43" t="s">
        <v>25</v>
      </c>
      <c r="N5" s="33"/>
      <c r="O5" s="33"/>
      <c r="P5" s="33"/>
    </row>
    <row r="6" spans="1:16" ht="15" customHeight="1">
      <c r="A6" s="33"/>
      <c r="B6" s="33"/>
      <c r="C6" s="33"/>
      <c r="N6" s="33"/>
      <c r="O6" s="33"/>
      <c r="P6" s="33"/>
    </row>
    <row r="7" spans="1:16" ht="1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 ht="18" customHeight="1">
      <c r="A8" s="33"/>
      <c r="B8" s="33"/>
      <c r="C8" s="33"/>
      <c r="D8" s="33"/>
      <c r="E8" s="33"/>
      <c r="F8" s="33"/>
      <c r="H8" s="44" t="s">
        <v>26</v>
      </c>
      <c r="K8" s="33"/>
      <c r="L8" s="33"/>
      <c r="M8" s="33"/>
      <c r="N8" s="33"/>
      <c r="O8" s="33"/>
      <c r="P8" s="33"/>
    </row>
    <row r="9" spans="1:16">
      <c r="A9" s="33"/>
      <c r="B9" s="33"/>
      <c r="C9" s="33"/>
      <c r="D9" s="33"/>
      <c r="E9" s="33"/>
      <c r="F9" s="33"/>
      <c r="K9" s="33"/>
      <c r="L9" s="33"/>
      <c r="M9" s="33"/>
      <c r="N9" s="33"/>
      <c r="O9" s="33"/>
      <c r="P9" s="33"/>
    </row>
    <row r="10" spans="1:16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33"/>
      <c r="B12" s="33"/>
      <c r="C12" s="33"/>
      <c r="D12" s="33"/>
      <c r="E12" s="2"/>
      <c r="F12" s="3"/>
      <c r="G12" s="3"/>
      <c r="H12" s="3"/>
      <c r="I12" s="3"/>
      <c r="J12" s="3"/>
      <c r="K12" s="4"/>
      <c r="L12" s="33"/>
      <c r="M12" s="33"/>
      <c r="N12" s="33"/>
      <c r="O12" s="33"/>
      <c r="P12" s="33"/>
    </row>
    <row r="13" spans="1:16">
      <c r="A13" s="33"/>
      <c r="B13" s="33"/>
      <c r="C13" s="33"/>
      <c r="D13" s="33"/>
      <c r="E13" s="5"/>
      <c r="F13" s="25" t="s">
        <v>27</v>
      </c>
      <c r="G13" s="26" t="s">
        <v>28</v>
      </c>
      <c r="H13" s="26" t="s">
        <v>16</v>
      </c>
      <c r="I13" s="27"/>
      <c r="J13" s="28" t="s">
        <v>29</v>
      </c>
      <c r="K13" s="9"/>
      <c r="L13" s="33"/>
      <c r="M13" s="33"/>
      <c r="N13" s="33"/>
      <c r="O13" s="33"/>
      <c r="P13" s="33"/>
    </row>
    <row r="14" spans="1:16">
      <c r="A14" s="33"/>
      <c r="B14" s="33"/>
      <c r="C14" s="33"/>
      <c r="D14" s="33"/>
      <c r="E14" s="5"/>
      <c r="I14" s="8"/>
      <c r="K14" s="9"/>
      <c r="L14" s="33"/>
      <c r="M14" s="33"/>
      <c r="N14" s="33"/>
      <c r="O14" s="33"/>
      <c r="P14" s="33"/>
    </row>
    <row r="15" spans="1:16">
      <c r="A15" s="33"/>
      <c r="B15" s="33"/>
      <c r="C15" s="33"/>
      <c r="D15" s="33"/>
      <c r="E15" s="10"/>
      <c r="F15" s="11" t="str">
        <f>Sales!B2</f>
        <v>Jan</v>
      </c>
      <c r="G15" s="52">
        <f>Sales!B3</f>
        <v>5600</v>
      </c>
      <c r="H15" s="52">
        <f>Sales!B4</f>
        <v>4790</v>
      </c>
      <c r="I15" s="19"/>
      <c r="J15" s="52">
        <f>G15-H15</f>
        <v>810</v>
      </c>
      <c r="K15" s="12"/>
      <c r="L15" s="33"/>
      <c r="M15" s="33"/>
      <c r="N15" s="33"/>
      <c r="O15" s="33"/>
      <c r="P15" s="33"/>
    </row>
    <row r="16" spans="1:16">
      <c r="A16" s="33"/>
      <c r="B16" s="33"/>
      <c r="C16" s="33"/>
      <c r="D16" s="33"/>
      <c r="E16" s="10"/>
      <c r="F16" s="11" t="str">
        <f>Sales!C2</f>
        <v>Feb</v>
      </c>
      <c r="G16" s="52">
        <f>Sales!C3</f>
        <v>6350</v>
      </c>
      <c r="H16" s="52">
        <f>Sales!C4</f>
        <v>5678</v>
      </c>
      <c r="I16" s="19"/>
      <c r="J16" s="52">
        <f>G16-H16</f>
        <v>672</v>
      </c>
      <c r="K16" s="12"/>
      <c r="L16" s="33"/>
      <c r="M16" s="33"/>
      <c r="N16" s="33"/>
      <c r="O16" s="33"/>
      <c r="P16" s="33"/>
    </row>
    <row r="17" spans="1:16">
      <c r="A17" s="33"/>
      <c r="B17" s="33"/>
      <c r="C17" s="33"/>
      <c r="D17" s="33"/>
      <c r="E17" s="10"/>
      <c r="F17" s="11" t="str">
        <f>Sales!D2</f>
        <v>Mar</v>
      </c>
      <c r="G17" s="52">
        <f>Sales!D3</f>
        <v>5100</v>
      </c>
      <c r="H17" s="52">
        <f>Sales!D4</f>
        <v>4754</v>
      </c>
      <c r="I17" s="19"/>
      <c r="J17" s="52">
        <f>G17-H17</f>
        <v>346</v>
      </c>
      <c r="K17" s="12"/>
      <c r="L17" s="33"/>
      <c r="M17" s="33"/>
      <c r="N17" s="33"/>
      <c r="O17" s="33"/>
      <c r="P17" s="33"/>
    </row>
    <row r="18" spans="1:16">
      <c r="A18" s="33"/>
      <c r="B18" s="33"/>
      <c r="C18" s="33"/>
      <c r="D18" s="33"/>
      <c r="E18" s="10"/>
      <c r="F18" s="11" t="str">
        <f>Sales!E2</f>
        <v>Apr</v>
      </c>
      <c r="G18" s="52">
        <f>Sales!E3</f>
        <v>6850</v>
      </c>
      <c r="H18" s="52">
        <f>Sales!E4</f>
        <v>6501</v>
      </c>
      <c r="I18" s="19"/>
      <c r="J18" s="52">
        <f>G18-H18</f>
        <v>349</v>
      </c>
      <c r="K18" s="12"/>
      <c r="L18" s="33"/>
      <c r="M18" s="33"/>
      <c r="N18" s="33"/>
      <c r="O18" s="33"/>
      <c r="P18" s="33"/>
    </row>
    <row r="19" spans="1:16">
      <c r="A19" s="33"/>
      <c r="B19" s="33"/>
      <c r="C19" s="33"/>
      <c r="D19" s="33"/>
      <c r="E19" s="10"/>
      <c r="F19" s="11" t="str">
        <f>Sales!F2</f>
        <v>May</v>
      </c>
      <c r="G19" s="52">
        <f>Sales!F3</f>
        <v>8600</v>
      </c>
      <c r="H19" s="52">
        <f>Sales!F4</f>
        <v>7744</v>
      </c>
      <c r="I19" s="19"/>
      <c r="J19" s="52">
        <f>G19-H19</f>
        <v>856</v>
      </c>
      <c r="K19" s="12"/>
      <c r="L19" s="33"/>
      <c r="M19" s="33"/>
      <c r="N19" s="33"/>
      <c r="O19" s="33"/>
      <c r="P19" s="33"/>
    </row>
    <row r="20" spans="1:16">
      <c r="A20" s="33"/>
      <c r="B20" s="33"/>
      <c r="C20" s="33"/>
      <c r="D20" s="33"/>
      <c r="E20" s="10"/>
      <c r="F20" s="11" t="str">
        <f>Sales!G2</f>
        <v>Jun</v>
      </c>
      <c r="G20" s="52">
        <f>Sales!G3</f>
        <v>8850</v>
      </c>
      <c r="H20" s="52">
        <f>Sales!G4</f>
        <v>8645</v>
      </c>
      <c r="I20" s="19"/>
      <c r="J20" s="52">
        <f>G20-H20</f>
        <v>205</v>
      </c>
      <c r="K20" s="12"/>
      <c r="L20" s="33"/>
      <c r="M20" s="33"/>
      <c r="N20" s="33"/>
      <c r="O20" s="33"/>
      <c r="P20" s="33"/>
    </row>
    <row r="21" spans="1:16">
      <c r="A21" s="33"/>
      <c r="B21" s="33"/>
      <c r="C21" s="33"/>
      <c r="D21" s="33"/>
      <c r="E21" s="10"/>
      <c r="F21" s="11" t="str">
        <f>Sales!H2</f>
        <v>Jul</v>
      </c>
      <c r="G21" s="52">
        <f>Sales!H3</f>
        <v>12100</v>
      </c>
      <c r="H21" s="52">
        <f>Sales!H4</f>
        <v>10976</v>
      </c>
      <c r="I21" s="19"/>
      <c r="J21" s="52">
        <f>G21-H21</f>
        <v>1124</v>
      </c>
      <c r="K21" s="12"/>
      <c r="L21" s="33"/>
      <c r="M21" s="33"/>
      <c r="N21" s="33"/>
      <c r="O21" s="33"/>
      <c r="P21" s="33"/>
    </row>
    <row r="22" spans="1:16">
      <c r="A22" s="33"/>
      <c r="B22" s="33"/>
      <c r="C22" s="33"/>
      <c r="D22" s="33"/>
      <c r="E22" s="10"/>
      <c r="F22" s="11" t="str">
        <f>Sales!I2</f>
        <v>Aug</v>
      </c>
      <c r="G22" s="52">
        <f>Sales!I3</f>
        <v>13850</v>
      </c>
      <c r="H22" s="52">
        <f>Sales!I4</f>
        <v>11232</v>
      </c>
      <c r="I22" s="19"/>
      <c r="J22" s="52">
        <f>G22-H22</f>
        <v>2618</v>
      </c>
      <c r="K22" s="12"/>
      <c r="L22" s="33"/>
      <c r="M22" s="33"/>
      <c r="N22" s="33"/>
      <c r="O22" s="33"/>
      <c r="P22" s="33"/>
    </row>
    <row r="23" spans="1:16">
      <c r="A23" s="33"/>
      <c r="B23" s="33"/>
      <c r="C23" s="33"/>
      <c r="D23" s="33"/>
      <c r="E23" s="10"/>
      <c r="F23" s="11" t="str">
        <f>Sales!J2</f>
        <v>Sep</v>
      </c>
      <c r="G23" s="52">
        <f>Sales!J3</f>
        <v>16600</v>
      </c>
      <c r="H23" s="52">
        <f>Sales!J4</f>
        <v>14323</v>
      </c>
      <c r="I23" s="19"/>
      <c r="J23" s="52">
        <f>G23-H23</f>
        <v>2277</v>
      </c>
      <c r="K23" s="12"/>
      <c r="L23" s="33"/>
      <c r="M23" s="33"/>
      <c r="N23" s="33"/>
      <c r="O23" s="33"/>
      <c r="P23" s="33"/>
    </row>
    <row r="24" spans="1:16">
      <c r="A24" s="33"/>
      <c r="B24" s="33"/>
      <c r="C24" s="33"/>
      <c r="D24" s="33"/>
      <c r="E24" s="10"/>
      <c r="F24" s="11" t="str">
        <f>Sales!K2</f>
        <v>Oct</v>
      </c>
      <c r="G24" s="52">
        <f>Sales!K3</f>
        <v>19100</v>
      </c>
      <c r="H24" s="52">
        <f>Sales!K4</f>
        <v>15434</v>
      </c>
      <c r="I24" s="19"/>
      <c r="J24" s="52">
        <f>G24-H24</f>
        <v>3666</v>
      </c>
      <c r="K24" s="12"/>
      <c r="L24" s="33"/>
      <c r="M24" s="33"/>
      <c r="N24" s="33"/>
      <c r="O24" s="33"/>
      <c r="P24" s="33"/>
    </row>
    <row r="25" spans="1:16">
      <c r="A25" s="33"/>
      <c r="B25" s="33"/>
      <c r="C25" s="33"/>
      <c r="D25" s="33"/>
      <c r="E25" s="10"/>
      <c r="F25" s="11" t="str">
        <f>Sales!L2</f>
        <v>Nov</v>
      </c>
      <c r="G25" s="52">
        <f>Sales!L3</f>
        <v>21600</v>
      </c>
      <c r="H25" s="52">
        <f>Sales!L4</f>
        <v>16543</v>
      </c>
      <c r="I25" s="19"/>
      <c r="J25" s="52">
        <f>G25-H25</f>
        <v>5057</v>
      </c>
      <c r="K25" s="12"/>
      <c r="L25" s="33"/>
      <c r="M25" s="33"/>
      <c r="N25" s="33"/>
      <c r="O25" s="33"/>
      <c r="P25" s="33"/>
    </row>
    <row r="26" spans="1:16">
      <c r="A26" s="33"/>
      <c r="B26" s="33"/>
      <c r="C26" s="33"/>
      <c r="D26" s="33"/>
      <c r="E26" s="10"/>
      <c r="F26" s="11" t="str">
        <f>Sales!M2</f>
        <v>Dec</v>
      </c>
      <c r="G26" s="52">
        <f>Sales!M3</f>
        <v>24100</v>
      </c>
      <c r="H26" s="52">
        <f>Sales!M4</f>
        <v>17896</v>
      </c>
      <c r="I26" s="19"/>
      <c r="J26" s="52">
        <f>G26-H26</f>
        <v>6204</v>
      </c>
      <c r="K26" s="12"/>
      <c r="L26" s="33"/>
      <c r="M26" s="33"/>
      <c r="N26" s="33"/>
      <c r="O26" s="33"/>
      <c r="P26" s="33"/>
    </row>
    <row r="27" spans="1:16">
      <c r="A27" s="33"/>
      <c r="B27" s="33"/>
      <c r="C27" s="33"/>
      <c r="D27" s="33"/>
      <c r="E27" s="10"/>
      <c r="F27" s="11"/>
      <c r="G27" s="52"/>
      <c r="H27" s="52"/>
      <c r="I27" s="19"/>
      <c r="J27" s="52"/>
      <c r="K27" s="12"/>
      <c r="L27" s="33"/>
      <c r="M27" s="33"/>
      <c r="N27" s="33"/>
      <c r="O27" s="33"/>
      <c r="P27" s="33"/>
    </row>
    <row r="28" spans="1:16">
      <c r="A28" s="33"/>
      <c r="B28" s="33"/>
      <c r="C28" s="33"/>
      <c r="D28" s="33"/>
      <c r="E28" s="10"/>
      <c r="F28" s="31" t="s">
        <v>14</v>
      </c>
      <c r="G28" s="59">
        <f>SUM(G15:G26)</f>
        <v>148700</v>
      </c>
      <c r="H28" s="59">
        <f>SUM(H15:H26)</f>
        <v>124516</v>
      </c>
      <c r="I28" s="32"/>
      <c r="J28" s="59">
        <f>G28-H28</f>
        <v>24184</v>
      </c>
      <c r="K28" s="12"/>
      <c r="L28" s="33"/>
      <c r="M28" s="33"/>
      <c r="N28" s="33"/>
      <c r="O28" s="33"/>
      <c r="P28" s="33"/>
    </row>
    <row r="29" spans="1:16">
      <c r="A29" s="33"/>
      <c r="B29" s="33"/>
      <c r="C29" s="33"/>
      <c r="D29" s="33"/>
      <c r="E29" s="13"/>
      <c r="F29" s="14"/>
      <c r="G29" s="14"/>
      <c r="H29" s="14"/>
      <c r="I29" s="14"/>
      <c r="J29" s="14"/>
      <c r="K29" s="15"/>
      <c r="L29" s="33"/>
      <c r="M29" s="33"/>
      <c r="N29" s="33"/>
      <c r="O29" s="33"/>
      <c r="P29" s="33"/>
    </row>
    <row r="30" spans="1:16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1:16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>
      <c r="A33" s="50"/>
      <c r="G33" s="33"/>
      <c r="H33" s="51" t="s">
        <v>30</v>
      </c>
      <c r="I33" s="33"/>
      <c r="J33" s="33"/>
      <c r="K33" s="33"/>
      <c r="L33" s="33"/>
      <c r="M33" s="33"/>
      <c r="N33" s="33"/>
      <c r="O33" s="33"/>
      <c r="P33" s="33"/>
    </row>
    <row r="34" spans="1:16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F4:J32"/>
  <sheetViews>
    <sheetView topLeftCell="A3" view="normal" workbookViewId="0">
      <selection pane="topLeft" activeCell="J12" sqref="J12:J27"/>
    </sheetView>
  </sheetViews>
  <sheetFormatPr defaultRowHeight="14.4"/>
  <cols>
    <col min="6" max="6" width="9" customWidth="1"/>
    <col min="7" max="7" width="13.27734375" customWidth="1"/>
    <col min="8" max="8" width="36.84765625" customWidth="1"/>
    <col min="10" max="10" width="11.41796875" customWidth="1"/>
  </cols>
  <sheetData>
    <row r="1" spans="1:16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5" customHeight="1">
      <c r="A2" s="33"/>
      <c r="B2" s="33"/>
      <c r="C2" s="33"/>
      <c r="D2" s="36"/>
      <c r="E2" s="36"/>
      <c r="F2" s="36"/>
      <c r="G2" s="36"/>
      <c r="H2" s="36"/>
      <c r="I2" s="36"/>
      <c r="J2" s="36"/>
      <c r="K2" s="36"/>
      <c r="L2" s="36"/>
      <c r="M2" s="36"/>
      <c r="N2" s="33"/>
      <c r="O2" s="33"/>
      <c r="P2" s="33"/>
    </row>
    <row r="3" spans="1:16" ht="15" customHeight="1">
      <c r="A3" s="33"/>
      <c r="B3" s="33"/>
      <c r="C3" s="33"/>
      <c r="D3" s="36"/>
      <c r="E3" s="36"/>
      <c r="F3" s="36"/>
      <c r="G3" s="36"/>
      <c r="H3" s="36"/>
      <c r="I3" s="36"/>
      <c r="J3" s="36"/>
      <c r="K3" s="36"/>
      <c r="L3" s="36"/>
      <c r="M3" s="36"/>
      <c r="N3" s="33"/>
      <c r="O3" s="33"/>
      <c r="P3" s="33"/>
    </row>
    <row r="4" spans="1:16" ht="30" customHeight="1">
      <c r="A4" s="33"/>
      <c r="B4" s="33"/>
      <c r="H4" s="45" t="s">
        <v>18</v>
      </c>
      <c r="N4" s="33"/>
      <c r="O4" s="33"/>
      <c r="P4" s="33"/>
    </row>
    <row r="5" spans="1:16" ht="15" customHeight="1">
      <c r="A5" s="33"/>
      <c r="B5" s="33"/>
      <c r="C5" s="33"/>
      <c r="N5" s="33"/>
      <c r="O5" s="33"/>
      <c r="P5" s="33"/>
    </row>
    <row r="6" spans="1:16" ht="18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 ht="18" customHeight="1">
      <c r="A7" s="33"/>
      <c r="B7" s="33"/>
      <c r="C7" s="33"/>
      <c r="D7" s="33"/>
      <c r="E7" s="33"/>
      <c r="F7" s="33"/>
      <c r="H7" s="44" t="s">
        <v>26</v>
      </c>
      <c r="K7" s="33"/>
      <c r="L7" s="33"/>
      <c r="M7" s="33"/>
      <c r="N7" s="33"/>
      <c r="O7" s="33"/>
      <c r="P7" s="33"/>
    </row>
    <row r="8" spans="1:16">
      <c r="A8" s="33"/>
      <c r="B8" s="33"/>
      <c r="C8" s="33"/>
      <c r="D8" s="33"/>
      <c r="E8" s="33"/>
      <c r="F8" s="33"/>
      <c r="K8" s="33"/>
      <c r="L8" s="33"/>
      <c r="M8" s="33"/>
      <c r="N8" s="33"/>
      <c r="O8" s="33"/>
      <c r="P8" s="33"/>
    </row>
    <row r="9" spans="1:16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3"/>
      <c r="B11" s="33"/>
      <c r="C11" s="33"/>
      <c r="D11" s="33"/>
      <c r="E11" s="2"/>
      <c r="F11" s="3"/>
      <c r="G11" s="3"/>
      <c r="H11" s="3"/>
      <c r="I11" s="3"/>
      <c r="J11" s="3"/>
      <c r="K11" s="4"/>
      <c r="L11" s="33"/>
      <c r="M11" s="33"/>
      <c r="N11" s="33"/>
      <c r="O11" s="33"/>
      <c r="P11" s="33"/>
    </row>
    <row r="12" spans="1:16">
      <c r="A12" s="33"/>
      <c r="B12" s="33"/>
      <c r="C12" s="33"/>
      <c r="D12" s="33"/>
      <c r="E12" s="5"/>
      <c r="F12" s="25" t="s">
        <v>27</v>
      </c>
      <c r="G12" s="26" t="s">
        <v>28</v>
      </c>
      <c r="H12" s="60" t="s">
        <v>16</v>
      </c>
      <c r="I12" s="28"/>
      <c r="J12" s="62" t="s">
        <v>29</v>
      </c>
      <c r="K12" s="9"/>
      <c r="L12" s="33"/>
      <c r="M12" s="33"/>
      <c r="N12" s="33"/>
      <c r="O12" s="33"/>
      <c r="P12" s="33"/>
    </row>
    <row r="13" spans="1:16">
      <c r="A13" s="33"/>
      <c r="B13" s="33"/>
      <c r="C13" s="33"/>
      <c r="D13" s="33"/>
      <c r="E13" s="5"/>
      <c r="F13" s="6"/>
      <c r="G13" s="7"/>
      <c r="H13" s="61"/>
      <c r="I13" s="8"/>
      <c r="J13" s="63"/>
      <c r="K13" s="9"/>
      <c r="L13" s="33"/>
      <c r="M13" s="33"/>
      <c r="N13" s="33"/>
      <c r="O13" s="33"/>
      <c r="P13" s="33"/>
    </row>
    <row r="14" spans="1:16">
      <c r="A14" s="33"/>
      <c r="B14" s="33"/>
      <c r="C14" s="33"/>
      <c r="D14" s="33"/>
      <c r="E14" s="10"/>
      <c r="F14" s="11" t="str">
        <f>Sales!B2</f>
        <v>Jan</v>
      </c>
      <c r="G14" s="52">
        <f>Sales!B8</f>
        <v>5600</v>
      </c>
      <c r="H14" s="52">
        <f>Sales!B9</f>
        <v>4595</v>
      </c>
      <c r="I14" s="19"/>
      <c r="J14" s="52">
        <f>G14-H14</f>
        <v>1005</v>
      </c>
      <c r="K14" s="12"/>
      <c r="L14" s="33"/>
      <c r="M14" s="33"/>
      <c r="N14" s="33"/>
      <c r="O14" s="33"/>
      <c r="P14" s="33"/>
    </row>
    <row r="15" spans="1:16">
      <c r="A15" s="33"/>
      <c r="B15" s="33"/>
      <c r="C15" s="33"/>
      <c r="D15" s="33"/>
      <c r="E15" s="10"/>
      <c r="F15" s="11" t="str">
        <f>Sales!C2</f>
        <v>Feb</v>
      </c>
      <c r="G15" s="52">
        <f>Sales!C8</f>
        <v>6350</v>
      </c>
      <c r="H15" s="52">
        <f>Sales!C9</f>
        <v>5678</v>
      </c>
      <c r="I15" s="19"/>
      <c r="J15" s="52">
        <f>G15-H15</f>
        <v>672</v>
      </c>
      <c r="K15" s="12"/>
      <c r="L15" s="33"/>
      <c r="M15" s="33"/>
      <c r="N15" s="33"/>
      <c r="O15" s="33"/>
      <c r="P15" s="33"/>
    </row>
    <row r="16" spans="1:16">
      <c r="A16" s="33"/>
      <c r="B16" s="33"/>
      <c r="C16" s="33"/>
      <c r="D16" s="33"/>
      <c r="E16" s="10"/>
      <c r="F16" s="11" t="str">
        <f>Sales!D2</f>
        <v>Mar</v>
      </c>
      <c r="G16" s="52">
        <f>Sales!D8</f>
        <v>16400</v>
      </c>
      <c r="H16" s="52">
        <f>Sales!D9</f>
        <v>9754</v>
      </c>
      <c r="I16" s="19"/>
      <c r="J16" s="52">
        <f>G16-H16</f>
        <v>6646</v>
      </c>
      <c r="K16" s="12"/>
      <c r="L16" s="33"/>
      <c r="M16" s="33"/>
      <c r="N16" s="33"/>
      <c r="O16" s="33"/>
      <c r="P16" s="33"/>
    </row>
    <row r="17" spans="1:16">
      <c r="A17" s="33"/>
      <c r="B17" s="33"/>
      <c r="C17" s="33"/>
      <c r="D17" s="33"/>
      <c r="E17" s="10"/>
      <c r="F17" s="11" t="str">
        <f>Sales!E2</f>
        <v>Apr</v>
      </c>
      <c r="G17" s="52">
        <f>Sales!E8</f>
        <v>16830</v>
      </c>
      <c r="H17" s="52">
        <f>Sales!E9</f>
        <v>9168</v>
      </c>
      <c r="I17" s="19"/>
      <c r="J17" s="52">
        <f>G17-H17</f>
        <v>7662</v>
      </c>
      <c r="K17" s="12"/>
      <c r="L17" s="33"/>
      <c r="M17" s="33"/>
      <c r="N17" s="33"/>
      <c r="O17" s="33"/>
      <c r="P17" s="33"/>
    </row>
    <row r="18" spans="1:16">
      <c r="A18" s="33"/>
      <c r="B18" s="33"/>
      <c r="C18" s="33"/>
      <c r="D18" s="33"/>
      <c r="E18" s="10"/>
      <c r="F18" s="11" t="str">
        <f>Sales!F2</f>
        <v>May</v>
      </c>
      <c r="G18" s="52">
        <f>Sales!F8</f>
        <v>19260</v>
      </c>
      <c r="H18" s="52">
        <f>Sales!F9</f>
        <v>18747.5</v>
      </c>
      <c r="I18" s="19"/>
      <c r="J18" s="52">
        <f>G18-H18</f>
        <v>512.5</v>
      </c>
      <c r="K18" s="12"/>
      <c r="L18" s="33"/>
      <c r="M18" s="33"/>
      <c r="N18" s="33"/>
      <c r="O18" s="33"/>
      <c r="P18" s="33"/>
    </row>
    <row r="19" spans="1:16">
      <c r="A19" s="33"/>
      <c r="B19" s="33"/>
      <c r="C19" s="33"/>
      <c r="D19" s="33"/>
      <c r="E19" s="10"/>
      <c r="F19" s="11" t="str">
        <f>Sales!G2</f>
        <v>Jun</v>
      </c>
      <c r="G19" s="52">
        <f>Sales!G8</f>
        <v>17690</v>
      </c>
      <c r="H19" s="52">
        <f>Sales!G9</f>
        <v>14327</v>
      </c>
      <c r="I19" s="19"/>
      <c r="J19" s="52">
        <f>G19-H19</f>
        <v>3363</v>
      </c>
      <c r="K19" s="12"/>
      <c r="L19" s="33"/>
      <c r="M19" s="33"/>
      <c r="N19" s="33"/>
      <c r="O19" s="33"/>
      <c r="P19" s="33"/>
    </row>
    <row r="20" spans="1:16">
      <c r="A20" s="33"/>
      <c r="B20" s="33"/>
      <c r="C20" s="33"/>
      <c r="D20" s="33"/>
      <c r="E20" s="10"/>
      <c r="F20" s="11" t="str">
        <f>Sales!H2</f>
        <v>Jul</v>
      </c>
      <c r="G20" s="52">
        <f>Sales!H8</f>
        <v>15600</v>
      </c>
      <c r="H20" s="52">
        <f>Sales!H9</f>
        <v>14906.5</v>
      </c>
      <c r="I20" s="19"/>
      <c r="J20" s="52">
        <f>G20-H20</f>
        <v>693.5</v>
      </c>
      <c r="K20" s="12"/>
      <c r="L20" s="33"/>
      <c r="M20" s="33"/>
      <c r="N20" s="33"/>
      <c r="O20" s="33"/>
      <c r="P20" s="33"/>
    </row>
    <row r="21" spans="1:16">
      <c r="A21" s="33"/>
      <c r="B21" s="33"/>
      <c r="C21" s="33"/>
      <c r="D21" s="33"/>
      <c r="E21" s="10"/>
      <c r="F21" s="11" t="str">
        <f>Sales!I2</f>
        <v>Aug</v>
      </c>
      <c r="G21" s="52">
        <f>Sales!I8</f>
        <v>17350</v>
      </c>
      <c r="H21" s="52">
        <f>Sales!I9</f>
        <v>15486</v>
      </c>
      <c r="I21" s="19"/>
      <c r="J21" s="52">
        <f>G21-H21</f>
        <v>1864</v>
      </c>
      <c r="K21" s="12"/>
      <c r="L21" s="33"/>
      <c r="M21" s="33"/>
      <c r="N21" s="33"/>
      <c r="O21" s="33"/>
      <c r="P21" s="33"/>
    </row>
    <row r="22" spans="1:16">
      <c r="A22" s="33"/>
      <c r="B22" s="33"/>
      <c r="C22" s="33"/>
      <c r="D22" s="33"/>
      <c r="E22" s="10"/>
      <c r="F22" s="11" t="str">
        <f>Sales!J2</f>
        <v>Sep</v>
      </c>
      <c r="G22" s="52">
        <f>Sales!J8</f>
        <v>10600</v>
      </c>
      <c r="H22" s="52">
        <f>Sales!J9</f>
        <v>9065.5</v>
      </c>
      <c r="I22" s="19"/>
      <c r="J22" s="52">
        <f>G22-H22</f>
        <v>1534.5</v>
      </c>
      <c r="K22" s="12"/>
      <c r="L22" s="33"/>
      <c r="M22" s="33"/>
      <c r="N22" s="33"/>
      <c r="O22" s="33"/>
      <c r="P22" s="33"/>
    </row>
    <row r="23" spans="1:16">
      <c r="A23" s="33"/>
      <c r="B23" s="33"/>
      <c r="C23" s="33"/>
      <c r="D23" s="33"/>
      <c r="E23" s="10"/>
      <c r="F23" s="11" t="str">
        <f>Sales!K2</f>
        <v>Oct</v>
      </c>
      <c r="G23" s="52">
        <f>Sales!K8</f>
        <v>11350</v>
      </c>
      <c r="H23" s="52">
        <f>Sales!K9</f>
        <v>10645</v>
      </c>
      <c r="I23" s="19"/>
      <c r="J23" s="52">
        <f>G23-H23</f>
        <v>705</v>
      </c>
      <c r="K23" s="12"/>
      <c r="L23" s="33"/>
      <c r="M23" s="33"/>
      <c r="N23" s="33"/>
      <c r="O23" s="33"/>
      <c r="P23" s="33"/>
    </row>
    <row r="24" spans="1:16">
      <c r="A24" s="33"/>
      <c r="B24" s="33"/>
      <c r="C24" s="33"/>
      <c r="D24" s="33"/>
      <c r="E24" s="10"/>
      <c r="F24" s="11" t="str">
        <f>Sales!L2</f>
        <v>Nov</v>
      </c>
      <c r="G24" s="52">
        <f>Sales!L8</f>
        <v>10100</v>
      </c>
      <c r="H24" s="52">
        <f>Sales!L9</f>
        <v>8224.5</v>
      </c>
      <c r="I24" s="19"/>
      <c r="J24" s="52">
        <f>G24-H24</f>
        <v>1875.5</v>
      </c>
      <c r="K24" s="12"/>
      <c r="L24" s="33"/>
      <c r="M24" s="33"/>
      <c r="N24" s="33"/>
      <c r="O24" s="33"/>
      <c r="P24" s="33"/>
    </row>
    <row r="25" spans="1:16">
      <c r="A25" s="33"/>
      <c r="B25" s="33"/>
      <c r="C25" s="33"/>
      <c r="D25" s="33"/>
      <c r="E25" s="10"/>
      <c r="F25" s="11" t="str">
        <f>Sales!M2</f>
        <v>Dec</v>
      </c>
      <c r="G25" s="52">
        <f>Sales!M8</f>
        <v>13850</v>
      </c>
      <c r="H25" s="52">
        <f>Sales!M9</f>
        <v>12804</v>
      </c>
      <c r="I25" s="19"/>
      <c r="J25" s="52">
        <f>G25-H25</f>
        <v>1046</v>
      </c>
      <c r="K25" s="12"/>
      <c r="L25" s="33"/>
      <c r="M25" s="33"/>
      <c r="N25" s="33"/>
      <c r="O25" s="33"/>
      <c r="P25" s="33"/>
    </row>
    <row r="26" spans="1:16">
      <c r="A26" s="33"/>
      <c r="B26" s="33"/>
      <c r="C26" s="33"/>
      <c r="D26" s="33"/>
      <c r="E26" s="10"/>
      <c r="F26" s="11"/>
      <c r="G26" s="52"/>
      <c r="H26" s="52"/>
      <c r="I26" s="19"/>
      <c r="J26" s="52"/>
      <c r="K26" s="12"/>
      <c r="L26" s="33"/>
      <c r="M26" s="33"/>
      <c r="N26" s="33"/>
      <c r="O26" s="33"/>
      <c r="P26" s="33"/>
    </row>
    <row r="27" spans="1:16">
      <c r="A27" s="33"/>
      <c r="B27" s="33"/>
      <c r="C27" s="33"/>
      <c r="D27" s="33"/>
      <c r="E27" s="10"/>
      <c r="F27" s="29" t="s">
        <v>14</v>
      </c>
      <c r="G27" s="53">
        <f>SUM(G14:G25)</f>
        <v>160980</v>
      </c>
      <c r="H27" s="53">
        <f>SUM(H14:H25)</f>
        <v>133401</v>
      </c>
      <c r="I27" s="30"/>
      <c r="J27" s="53">
        <f>G27-H27</f>
        <v>27579</v>
      </c>
      <c r="K27" s="12"/>
      <c r="L27" s="33"/>
      <c r="M27" s="33"/>
      <c r="N27" s="33"/>
      <c r="O27" s="33"/>
      <c r="P27" s="33"/>
    </row>
    <row r="28" spans="1:16">
      <c r="A28" s="33"/>
      <c r="B28" s="33"/>
      <c r="C28" s="33"/>
      <c r="D28" s="33"/>
      <c r="E28" s="13"/>
      <c r="F28" s="14"/>
      <c r="G28" s="14"/>
      <c r="H28" s="14"/>
      <c r="I28" s="14"/>
      <c r="J28" s="14"/>
      <c r="K28" s="15"/>
      <c r="L28" s="33"/>
      <c r="M28" s="33"/>
      <c r="N28" s="33"/>
      <c r="O28" s="33"/>
      <c r="P28" s="33"/>
    </row>
    <row r="29" spans="1:16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</row>
    <row r="30" spans="1:16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>
      <c r="A31" s="33"/>
      <c r="B31" s="33"/>
      <c r="C31" s="33"/>
      <c r="D31" s="33"/>
      <c r="E31" s="33"/>
      <c r="F31" s="33"/>
      <c r="G31" s="33"/>
      <c r="H31" s="51"/>
      <c r="I31" s="33"/>
      <c r="J31" s="33"/>
      <c r="K31" s="33"/>
      <c r="L31" s="33"/>
      <c r="M31" s="33"/>
      <c r="N31" s="33"/>
      <c r="O31" s="33"/>
      <c r="P31" s="33"/>
    </row>
    <row r="32" spans="1:16">
      <c r="A32" s="50"/>
      <c r="G32" s="33"/>
      <c r="H32" s="51" t="s">
        <v>30</v>
      </c>
      <c r="I32" s="33"/>
      <c r="J32" s="33"/>
      <c r="K32" s="33"/>
      <c r="L32" s="33"/>
      <c r="M32" s="33"/>
      <c r="N32" s="33"/>
      <c r="O32" s="33"/>
      <c r="P32" s="33"/>
    </row>
    <row r="33" spans="1:16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16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F4:J32"/>
  <sheetViews>
    <sheetView topLeftCell="A3" view="normal" workbookViewId="0">
      <selection pane="topLeft" activeCell="J14" sqref="J14:J27"/>
    </sheetView>
  </sheetViews>
  <sheetFormatPr defaultRowHeight="14.4"/>
  <cols>
    <col min="6" max="6" width="11.41796875" customWidth="1"/>
    <col min="7" max="7" width="12.84765625" customWidth="1"/>
    <col min="8" max="8" width="37.140625" customWidth="1"/>
    <col min="10" max="10" width="11.41796875" customWidth="1"/>
  </cols>
  <sheetData>
    <row r="1" spans="1:16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5" customHeight="1">
      <c r="A2" s="33"/>
      <c r="B2" s="33"/>
      <c r="C2" s="33"/>
      <c r="D2" s="36"/>
      <c r="E2" s="36"/>
      <c r="F2" s="36"/>
      <c r="G2" s="36"/>
      <c r="H2" s="36"/>
      <c r="I2" s="36"/>
      <c r="J2" s="36"/>
      <c r="K2" s="36"/>
      <c r="L2" s="36"/>
      <c r="M2" s="36"/>
      <c r="N2" s="33"/>
      <c r="O2" s="33"/>
      <c r="P2" s="33"/>
    </row>
    <row r="3" spans="1:16" ht="15" customHeight="1">
      <c r="A3" s="33"/>
      <c r="B3" s="33"/>
      <c r="C3" s="33"/>
      <c r="D3" s="36"/>
      <c r="E3" s="36"/>
      <c r="F3" s="36"/>
      <c r="G3" s="36"/>
      <c r="H3" s="36"/>
      <c r="I3" s="36"/>
      <c r="J3" s="36"/>
      <c r="K3" s="36"/>
      <c r="L3" s="36"/>
      <c r="M3" s="36"/>
      <c r="N3" s="33"/>
      <c r="O3" s="33"/>
      <c r="P3" s="33"/>
    </row>
    <row r="4" spans="1:16" ht="30" customHeight="1">
      <c r="A4" s="33"/>
      <c r="B4" s="33"/>
      <c r="C4" s="33"/>
      <c r="H4" s="45" t="s">
        <v>19</v>
      </c>
      <c r="N4" s="33"/>
      <c r="O4" s="33"/>
      <c r="P4" s="33"/>
    </row>
    <row r="5" spans="1:16" ht="15" customHeight="1">
      <c r="A5" s="33"/>
      <c r="B5" s="33"/>
      <c r="C5" s="33"/>
      <c r="N5" s="33"/>
      <c r="O5" s="33"/>
      <c r="P5" s="33"/>
    </row>
    <row r="6" spans="1:1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 ht="18" customHeight="1">
      <c r="A7" s="33"/>
      <c r="B7" s="33"/>
      <c r="C7" s="33"/>
      <c r="D7" s="33"/>
      <c r="E7" s="33"/>
      <c r="F7" s="33"/>
      <c r="H7" s="44" t="s">
        <v>26</v>
      </c>
      <c r="K7" s="33"/>
      <c r="L7" s="33"/>
      <c r="M7" s="33"/>
      <c r="N7" s="33"/>
      <c r="O7" s="33"/>
      <c r="P7" s="33"/>
    </row>
    <row r="8" spans="1:16">
      <c r="A8" s="33"/>
      <c r="B8" s="33"/>
      <c r="C8" s="33"/>
      <c r="D8" s="33"/>
      <c r="E8" s="33"/>
      <c r="F8" s="33"/>
      <c r="K8" s="33"/>
      <c r="L8" s="33"/>
      <c r="M8" s="33"/>
      <c r="N8" s="33"/>
      <c r="O8" s="33"/>
      <c r="P8" s="33"/>
    </row>
    <row r="9" spans="1:16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3"/>
      <c r="B11" s="33"/>
      <c r="C11" s="33"/>
      <c r="D11" s="33"/>
      <c r="E11" s="2"/>
      <c r="F11" s="3"/>
      <c r="G11" s="3"/>
      <c r="H11" s="3"/>
      <c r="I11" s="3"/>
      <c r="J11" s="3"/>
      <c r="K11" s="4"/>
      <c r="L11" s="33"/>
      <c r="M11" s="33"/>
      <c r="N11" s="33"/>
      <c r="O11" s="33"/>
      <c r="P11" s="33"/>
    </row>
    <row r="12" spans="1:16">
      <c r="A12" s="33"/>
      <c r="B12" s="33"/>
      <c r="C12" s="33"/>
      <c r="D12" s="33"/>
      <c r="E12" s="5"/>
      <c r="F12" s="25" t="s">
        <v>27</v>
      </c>
      <c r="G12" s="26" t="s">
        <v>28</v>
      </c>
      <c r="H12" s="26" t="s">
        <v>16</v>
      </c>
      <c r="I12" s="28"/>
      <c r="J12" s="28" t="s">
        <v>29</v>
      </c>
      <c r="K12" s="9"/>
      <c r="L12" s="33"/>
      <c r="M12" s="33"/>
      <c r="N12" s="33"/>
      <c r="O12" s="33"/>
      <c r="P12" s="33"/>
    </row>
    <row r="13" spans="1:16">
      <c r="A13" s="33"/>
      <c r="B13" s="33"/>
      <c r="C13" s="33"/>
      <c r="D13" s="33"/>
      <c r="E13" s="5"/>
      <c r="F13" s="6"/>
      <c r="G13" s="7"/>
      <c r="H13" s="7"/>
      <c r="I13" s="8"/>
      <c r="J13" s="8"/>
      <c r="K13" s="9"/>
      <c r="L13" s="33"/>
      <c r="M13" s="33"/>
      <c r="N13" s="33"/>
      <c r="O13" s="33"/>
      <c r="P13" s="33"/>
    </row>
    <row r="14" spans="1:16">
      <c r="A14" s="33"/>
      <c r="B14" s="33"/>
      <c r="C14" s="33"/>
      <c r="D14" s="33"/>
      <c r="E14" s="10"/>
      <c r="F14" s="11" t="str">
        <f>Sales!B2</f>
        <v>Jan</v>
      </c>
      <c r="G14" s="52">
        <f>Sales!B13</f>
        <v>14600</v>
      </c>
      <c r="H14" s="52">
        <f>Sales!B14</f>
        <v>5895</v>
      </c>
      <c r="I14" s="19"/>
      <c r="J14" s="52">
        <f>G14-H14</f>
        <v>8705</v>
      </c>
      <c r="K14" s="12"/>
      <c r="L14" s="33"/>
      <c r="M14" s="33"/>
      <c r="N14" s="33"/>
      <c r="O14" s="33"/>
      <c r="P14" s="33"/>
    </row>
    <row r="15" spans="1:16">
      <c r="A15" s="33"/>
      <c r="B15" s="33"/>
      <c r="C15" s="33"/>
      <c r="D15" s="33"/>
      <c r="E15" s="10"/>
      <c r="F15" s="11" t="str">
        <f>Sales!C2</f>
        <v>Feb</v>
      </c>
      <c r="G15" s="52">
        <f>Sales!C13</f>
        <v>25350</v>
      </c>
      <c r="H15" s="52">
        <f>Sales!C14</f>
        <v>3678</v>
      </c>
      <c r="I15" s="19"/>
      <c r="J15" s="52">
        <f>G15-H15</f>
        <v>21672</v>
      </c>
      <c r="K15" s="12"/>
      <c r="L15" s="33"/>
      <c r="M15" s="33"/>
      <c r="N15" s="33"/>
      <c r="O15" s="33"/>
      <c r="P15" s="33"/>
    </row>
    <row r="16" spans="1:16">
      <c r="A16" s="33"/>
      <c r="B16" s="33"/>
      <c r="C16" s="33"/>
      <c r="D16" s="33"/>
      <c r="E16" s="10"/>
      <c r="F16" s="11" t="str">
        <f>Sales!D2</f>
        <v>Mar</v>
      </c>
      <c r="G16" s="52">
        <f>Sales!D13</f>
        <v>25100</v>
      </c>
      <c r="H16" s="52">
        <f>Sales!D14</f>
        <v>5754</v>
      </c>
      <c r="I16" s="19"/>
      <c r="J16" s="52">
        <f>G16-H16</f>
        <v>19346</v>
      </c>
      <c r="K16" s="12"/>
      <c r="L16" s="33"/>
      <c r="M16" s="33"/>
      <c r="N16" s="33"/>
      <c r="O16" s="33"/>
      <c r="P16" s="33"/>
    </row>
    <row r="17" spans="1:16">
      <c r="A17" s="33"/>
      <c r="B17" s="33"/>
      <c r="C17" s="33"/>
      <c r="D17" s="33"/>
      <c r="E17" s="10"/>
      <c r="F17" s="11" t="str">
        <f>Sales!E2</f>
        <v>Apr</v>
      </c>
      <c r="G17" s="52">
        <f>Sales!E13</f>
        <v>26850</v>
      </c>
      <c r="H17" s="52">
        <f>Sales!E14</f>
        <v>7501</v>
      </c>
      <c r="I17" s="19"/>
      <c r="J17" s="52">
        <f>G17-H17</f>
        <v>19349</v>
      </c>
      <c r="K17" s="12"/>
      <c r="L17" s="33"/>
      <c r="M17" s="33"/>
      <c r="N17" s="33"/>
      <c r="O17" s="33"/>
      <c r="P17" s="33"/>
    </row>
    <row r="18" spans="1:16">
      <c r="A18" s="33"/>
      <c r="B18" s="33"/>
      <c r="C18" s="33"/>
      <c r="D18" s="33"/>
      <c r="E18" s="10"/>
      <c r="F18" s="11" t="str">
        <f>Sales!F2</f>
        <v>May</v>
      </c>
      <c r="G18" s="52">
        <f>Sales!F13</f>
        <v>32100</v>
      </c>
      <c r="H18" s="52">
        <f>Sales!F14</f>
        <v>9430</v>
      </c>
      <c r="I18" s="19"/>
      <c r="J18" s="52">
        <f>G18-H18</f>
        <v>22670</v>
      </c>
      <c r="K18" s="12"/>
      <c r="L18" s="33"/>
      <c r="M18" s="33"/>
      <c r="N18" s="33"/>
      <c r="O18" s="33"/>
      <c r="P18" s="33"/>
    </row>
    <row r="19" spans="1:16">
      <c r="A19" s="33"/>
      <c r="B19" s="33"/>
      <c r="C19" s="33"/>
      <c r="D19" s="33"/>
      <c r="E19" s="10"/>
      <c r="F19" s="11" t="str">
        <f>Sales!G2</f>
        <v>Jun</v>
      </c>
      <c r="G19" s="52">
        <f>Sales!G13</f>
        <v>35750</v>
      </c>
      <c r="H19" s="52">
        <f>Sales!G14</f>
        <v>11319</v>
      </c>
      <c r="I19" s="19"/>
      <c r="J19" s="52">
        <f>G19-H19</f>
        <v>24431</v>
      </c>
      <c r="K19" s="12"/>
      <c r="L19" s="33"/>
      <c r="M19" s="33"/>
      <c r="N19" s="33"/>
      <c r="O19" s="33"/>
      <c r="P19" s="33"/>
    </row>
    <row r="20" spans="1:16">
      <c r="A20" s="33"/>
      <c r="B20" s="33"/>
      <c r="C20" s="33"/>
      <c r="D20" s="33"/>
      <c r="E20" s="10"/>
      <c r="F20" s="11" t="str">
        <f>Sales!H2</f>
        <v>Jul</v>
      </c>
      <c r="G20" s="52">
        <f>Sales!H13</f>
        <v>39400</v>
      </c>
      <c r="H20" s="52">
        <f>Sales!H14</f>
        <v>13209</v>
      </c>
      <c r="I20" s="19"/>
      <c r="J20" s="52">
        <f>G20-H20</f>
        <v>26191</v>
      </c>
      <c r="K20" s="12"/>
      <c r="L20" s="33"/>
      <c r="M20" s="33"/>
      <c r="N20" s="33"/>
      <c r="O20" s="33"/>
      <c r="P20" s="33"/>
    </row>
    <row r="21" spans="1:16">
      <c r="A21" s="33"/>
      <c r="B21" s="33"/>
      <c r="C21" s="33"/>
      <c r="D21" s="33"/>
      <c r="E21" s="10"/>
      <c r="F21" s="11" t="str">
        <f>Sales!I2</f>
        <v>Aug</v>
      </c>
      <c r="G21" s="52">
        <f>Sales!I13</f>
        <v>43050</v>
      </c>
      <c r="H21" s="52">
        <f>Sales!I14</f>
        <v>15098</v>
      </c>
      <c r="I21" s="19"/>
      <c r="J21" s="52">
        <f>G21-H21</f>
        <v>27952</v>
      </c>
      <c r="K21" s="12"/>
      <c r="L21" s="33"/>
      <c r="M21" s="33"/>
      <c r="N21" s="33"/>
      <c r="O21" s="33"/>
      <c r="P21" s="33"/>
    </row>
    <row r="22" spans="1:16">
      <c r="A22" s="33"/>
      <c r="B22" s="33"/>
      <c r="C22" s="33"/>
      <c r="D22" s="33"/>
      <c r="E22" s="10"/>
      <c r="F22" s="11" t="str">
        <f>Sales!J2</f>
        <v>Sep</v>
      </c>
      <c r="G22" s="52">
        <f>Sales!J13</f>
        <v>46700</v>
      </c>
      <c r="H22" s="52">
        <f>Sales!J14</f>
        <v>16988</v>
      </c>
      <c r="I22" s="19"/>
      <c r="J22" s="52">
        <f>G22-H22</f>
        <v>29712</v>
      </c>
      <c r="K22" s="12"/>
      <c r="L22" s="33"/>
      <c r="M22" s="33"/>
      <c r="N22" s="33"/>
      <c r="O22" s="33"/>
      <c r="P22" s="33"/>
    </row>
    <row r="23" spans="1:16">
      <c r="A23" s="33"/>
      <c r="B23" s="33"/>
      <c r="C23" s="33"/>
      <c r="D23" s="33"/>
      <c r="E23" s="10"/>
      <c r="F23" s="11" t="str">
        <f>Sales!K2</f>
        <v>Oct</v>
      </c>
      <c r="G23" s="52">
        <f>Sales!K13</f>
        <v>50350</v>
      </c>
      <c r="H23" s="52">
        <f>Sales!K14</f>
        <v>18877</v>
      </c>
      <c r="I23" s="19"/>
      <c r="J23" s="52">
        <f>G23-H23</f>
        <v>31473</v>
      </c>
      <c r="K23" s="12"/>
      <c r="L23" s="33"/>
      <c r="M23" s="33"/>
      <c r="N23" s="33"/>
      <c r="O23" s="33"/>
      <c r="P23" s="33"/>
    </row>
    <row r="24" spans="1:16">
      <c r="A24" s="33"/>
      <c r="B24" s="33"/>
      <c r="C24" s="33"/>
      <c r="D24" s="33"/>
      <c r="E24" s="10"/>
      <c r="F24" s="11" t="str">
        <f>Sales!L2</f>
        <v>Nov</v>
      </c>
      <c r="G24" s="52">
        <f>Sales!L13</f>
        <v>54000</v>
      </c>
      <c r="H24" s="52">
        <f>Sales!L14</f>
        <v>20766</v>
      </c>
      <c r="I24" s="19"/>
      <c r="J24" s="52">
        <f>G24-H24</f>
        <v>33234</v>
      </c>
      <c r="K24" s="12"/>
      <c r="L24" s="33"/>
      <c r="M24" s="33"/>
      <c r="N24" s="33"/>
      <c r="O24" s="33"/>
      <c r="P24" s="33"/>
    </row>
    <row r="25" spans="1:16">
      <c r="A25" s="33"/>
      <c r="B25" s="33"/>
      <c r="C25" s="33"/>
      <c r="D25" s="33"/>
      <c r="E25" s="10"/>
      <c r="F25" s="11" t="str">
        <f>Sales!M2</f>
        <v>Dec</v>
      </c>
      <c r="G25" s="52">
        <f>Sales!M13</f>
        <v>57650</v>
      </c>
      <c r="H25" s="52">
        <f>Sales!M14</f>
        <v>22656</v>
      </c>
      <c r="I25" s="19"/>
      <c r="J25" s="52">
        <f>G25-H25</f>
        <v>34994</v>
      </c>
      <c r="K25" s="12"/>
      <c r="L25" s="33"/>
      <c r="M25" s="33"/>
      <c r="N25" s="33"/>
      <c r="O25" s="33"/>
      <c r="P25" s="33"/>
    </row>
    <row r="26" spans="1:16">
      <c r="A26" s="33"/>
      <c r="B26" s="33"/>
      <c r="C26" s="33"/>
      <c r="D26" s="33"/>
      <c r="E26" s="10"/>
      <c r="F26" s="11"/>
      <c r="G26" s="52"/>
      <c r="H26" s="52"/>
      <c r="I26" s="19"/>
      <c r="J26" s="52"/>
      <c r="K26" s="12"/>
      <c r="L26" s="33"/>
      <c r="M26" s="33"/>
      <c r="N26" s="33"/>
      <c r="O26" s="33"/>
      <c r="P26" s="33"/>
    </row>
    <row r="27" spans="1:16">
      <c r="A27" s="33"/>
      <c r="B27" s="33"/>
      <c r="C27" s="33"/>
      <c r="D27" s="33"/>
      <c r="E27" s="10"/>
      <c r="F27" s="29" t="s">
        <v>14</v>
      </c>
      <c r="G27" s="53">
        <f>SUM(G14:G25)</f>
        <v>450900</v>
      </c>
      <c r="H27" s="53">
        <f>SUM(H14:H25)</f>
        <v>151171</v>
      </c>
      <c r="I27" s="30"/>
      <c r="J27" s="53">
        <f>G27-H27</f>
        <v>299729</v>
      </c>
      <c r="K27" s="12"/>
      <c r="L27" s="33"/>
      <c r="M27" s="33"/>
      <c r="N27" s="33"/>
      <c r="O27" s="33"/>
      <c r="P27" s="33"/>
    </row>
    <row r="28" spans="1:16">
      <c r="A28" s="33"/>
      <c r="B28" s="33"/>
      <c r="C28" s="33"/>
      <c r="D28" s="33"/>
      <c r="E28" s="13"/>
      <c r="F28" s="14"/>
      <c r="G28" s="14"/>
      <c r="H28" s="14"/>
      <c r="I28" s="14"/>
      <c r="J28" s="14"/>
      <c r="K28" s="15"/>
      <c r="L28" s="33"/>
      <c r="M28" s="33"/>
      <c r="N28" s="33"/>
      <c r="O28" s="33"/>
      <c r="P28" s="33"/>
    </row>
    <row r="29" spans="1:16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</row>
    <row r="30" spans="1:16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1:16">
      <c r="A32" s="50"/>
      <c r="G32" s="33"/>
      <c r="H32" s="51" t="s">
        <v>30</v>
      </c>
      <c r="I32" s="33"/>
      <c r="J32" s="33"/>
      <c r="K32" s="33"/>
      <c r="L32" s="33"/>
      <c r="M32" s="33"/>
      <c r="N32" s="33"/>
      <c r="O32" s="33"/>
      <c r="P32" s="33"/>
    </row>
    <row r="33" spans="1:16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16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F5:J33"/>
  <sheetViews>
    <sheetView topLeftCell="A5" view="normal" workbookViewId="0">
      <selection pane="topLeft" activeCell="J15" sqref="J15:J28"/>
    </sheetView>
  </sheetViews>
  <sheetFormatPr defaultRowHeight="14.4"/>
  <cols>
    <col min="6" max="6" width="11.41796875" customWidth="1"/>
    <col min="7" max="7" width="12.84765625" customWidth="1"/>
    <col min="8" max="8" width="37.140625" customWidth="1"/>
    <col min="10" max="10" width="11.41796875" customWidth="1"/>
  </cols>
  <sheetData>
    <row r="1" spans="1:16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5" customHeight="1">
      <c r="A2" s="33"/>
      <c r="B2" s="33"/>
      <c r="C2" s="33"/>
      <c r="D2" s="35"/>
      <c r="E2" s="35"/>
      <c r="F2" s="35"/>
      <c r="G2" s="35"/>
      <c r="H2" s="35"/>
      <c r="I2" s="35"/>
      <c r="J2" s="35"/>
      <c r="K2" s="35"/>
      <c r="L2" s="35"/>
      <c r="M2" s="35"/>
      <c r="N2" s="33"/>
      <c r="O2" s="33"/>
      <c r="P2" s="33"/>
    </row>
    <row r="3" spans="1:16" ht="15" customHeight="1">
      <c r="A3" s="33"/>
      <c r="B3" s="33"/>
      <c r="C3" s="33"/>
      <c r="D3" s="35"/>
      <c r="E3" s="35"/>
      <c r="F3" s="35"/>
      <c r="G3" s="35"/>
      <c r="H3" s="35"/>
      <c r="I3" s="35"/>
      <c r="J3" s="35"/>
      <c r="K3" s="35"/>
      <c r="L3" s="35"/>
      <c r="M3" s="35"/>
      <c r="N3" s="33"/>
      <c r="O3" s="33"/>
      <c r="P3" s="33"/>
    </row>
    <row r="4" spans="1:16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8" ht="30" customHeight="1">
      <c r="A5" s="33"/>
      <c r="B5" s="33"/>
      <c r="C5" s="33"/>
      <c r="H5" s="46" t="s">
        <v>20</v>
      </c>
    </row>
    <row r="6" spans="1:3" ht="15" customHeight="1">
      <c r="A6" s="33"/>
      <c r="B6" s="33"/>
      <c r="C6" s="33"/>
    </row>
    <row r="7" spans="1:16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 ht="18" customHeight="1">
      <c r="A8" s="33"/>
      <c r="B8" s="33"/>
      <c r="C8" s="33"/>
      <c r="D8" s="33"/>
      <c r="E8" s="33"/>
      <c r="H8" s="44" t="s">
        <v>26</v>
      </c>
      <c r="K8" s="33"/>
      <c r="L8" s="37"/>
      <c r="M8" s="33"/>
      <c r="N8" s="33"/>
      <c r="O8" s="33"/>
      <c r="P8" s="33"/>
    </row>
    <row r="9" spans="1:16">
      <c r="A9" s="33"/>
      <c r="B9" s="33"/>
      <c r="C9" s="33"/>
      <c r="D9" s="33"/>
      <c r="E9" s="33"/>
      <c r="F9" s="33"/>
      <c r="K9" s="33"/>
      <c r="L9" s="33"/>
      <c r="M9" s="33"/>
      <c r="N9" s="33"/>
      <c r="O9" s="33"/>
      <c r="P9" s="33"/>
    </row>
    <row r="10" spans="1:16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33"/>
      <c r="B12" s="33"/>
      <c r="C12" s="33"/>
      <c r="D12" s="33"/>
      <c r="E12" s="2"/>
      <c r="F12" s="3"/>
      <c r="G12" s="3"/>
      <c r="H12" s="3"/>
      <c r="I12" s="3"/>
      <c r="J12" s="3"/>
      <c r="K12" s="4"/>
      <c r="L12" s="33"/>
      <c r="M12" s="33"/>
      <c r="N12" s="33"/>
      <c r="O12" s="33"/>
      <c r="P12" s="33"/>
    </row>
    <row r="13" spans="1:16">
      <c r="A13" s="33"/>
      <c r="B13" s="33"/>
      <c r="C13" s="33"/>
      <c r="D13" s="33"/>
      <c r="E13" s="5"/>
      <c r="F13" s="6" t="s">
        <v>27</v>
      </c>
      <c r="G13" s="7" t="s">
        <v>28</v>
      </c>
      <c r="H13" s="7" t="s">
        <v>16</v>
      </c>
      <c r="I13" s="8"/>
      <c r="J13" s="8" t="s">
        <v>29</v>
      </c>
      <c r="K13" s="9"/>
      <c r="L13" s="33"/>
      <c r="M13" s="33"/>
      <c r="N13" s="33"/>
      <c r="O13" s="33"/>
      <c r="P13" s="33"/>
    </row>
    <row r="14" spans="1:16">
      <c r="A14" s="33"/>
      <c r="B14" s="33"/>
      <c r="C14" s="33"/>
      <c r="D14" s="33"/>
      <c r="E14" s="5"/>
      <c r="F14" s="6"/>
      <c r="G14" s="7"/>
      <c r="H14" s="7"/>
      <c r="I14" s="8"/>
      <c r="J14" s="8"/>
      <c r="K14" s="9"/>
      <c r="L14" s="33"/>
      <c r="M14" s="33"/>
      <c r="N14" s="33"/>
      <c r="O14" s="33"/>
      <c r="P14" s="33"/>
    </row>
    <row r="15" spans="1:16">
      <c r="A15" s="33"/>
      <c r="B15" s="33"/>
      <c r="C15" s="33"/>
      <c r="D15" s="33"/>
      <c r="E15" s="10"/>
      <c r="F15" s="11" t="str">
        <f>Sales!B2</f>
        <v>Jan</v>
      </c>
      <c r="G15" s="52">
        <f>Sales!B18</f>
        <v>16850</v>
      </c>
      <c r="H15" s="52">
        <f>Sales!B19</f>
        <v>8895</v>
      </c>
      <c r="I15" s="19"/>
      <c r="J15" s="52">
        <f>G15-H15</f>
        <v>7955</v>
      </c>
      <c r="K15" s="12"/>
      <c r="L15" s="33"/>
      <c r="M15" s="33"/>
      <c r="N15" s="33"/>
      <c r="O15" s="33"/>
      <c r="P15" s="33"/>
    </row>
    <row r="16" spans="1:16">
      <c r="A16" s="33"/>
      <c r="B16" s="33"/>
      <c r="C16" s="33"/>
      <c r="D16" s="33"/>
      <c r="E16" s="10"/>
      <c r="F16" s="11" t="str">
        <f>Sales!C2</f>
        <v>Feb</v>
      </c>
      <c r="G16" s="52">
        <f>Sales!C18</f>
        <v>17690</v>
      </c>
      <c r="H16" s="52">
        <f>Sales!C19</f>
        <v>14678</v>
      </c>
      <c r="I16" s="19"/>
      <c r="J16" s="52">
        <f>G16-H16</f>
        <v>3012</v>
      </c>
      <c r="K16" s="12"/>
      <c r="L16" s="33"/>
      <c r="M16" s="33"/>
      <c r="N16" s="33"/>
      <c r="O16" s="33"/>
      <c r="P16" s="33"/>
    </row>
    <row r="17" spans="1:16">
      <c r="A17" s="33"/>
      <c r="B17" s="33"/>
      <c r="C17" s="33"/>
      <c r="D17" s="33"/>
      <c r="E17" s="10"/>
      <c r="F17" s="11" t="str">
        <f>Sales!D2</f>
        <v>Mar</v>
      </c>
      <c r="G17" s="52">
        <f>Sales!D18</f>
        <v>18830</v>
      </c>
      <c r="H17" s="52">
        <f>Sales!D19</f>
        <v>7754</v>
      </c>
      <c r="I17" s="19"/>
      <c r="J17" s="52">
        <f>G17-H17</f>
        <v>11076</v>
      </c>
      <c r="K17" s="12"/>
      <c r="L17" s="33"/>
      <c r="M17" s="33"/>
      <c r="N17" s="33"/>
      <c r="O17" s="33"/>
      <c r="P17" s="33"/>
    </row>
    <row r="18" spans="1:16">
      <c r="A18" s="33"/>
      <c r="B18" s="33"/>
      <c r="C18" s="33"/>
      <c r="D18" s="33"/>
      <c r="E18" s="10"/>
      <c r="F18" s="11" t="str">
        <f>Sales!E2</f>
        <v>Apr</v>
      </c>
      <c r="G18" s="52">
        <f>Sales!E18</f>
        <v>19260</v>
      </c>
      <c r="H18" s="52">
        <f>Sales!E19</f>
        <v>6501</v>
      </c>
      <c r="I18" s="19"/>
      <c r="J18" s="52">
        <f>G18-H18</f>
        <v>12759</v>
      </c>
      <c r="K18" s="12"/>
      <c r="L18" s="33"/>
      <c r="M18" s="33"/>
      <c r="N18" s="33"/>
      <c r="O18" s="33"/>
      <c r="P18" s="33"/>
    </row>
    <row r="19" spans="1:16">
      <c r="A19" s="33"/>
      <c r="B19" s="33"/>
      <c r="C19" s="33"/>
      <c r="D19" s="33"/>
      <c r="E19" s="10"/>
      <c r="F19" s="11" t="str">
        <f>Sales!F2</f>
        <v>May</v>
      </c>
      <c r="G19" s="52">
        <f>Sales!F18</f>
        <v>20690</v>
      </c>
      <c r="H19" s="52">
        <f>Sales!F19</f>
        <v>9430</v>
      </c>
      <c r="I19" s="19"/>
      <c r="J19" s="52">
        <f>G19-H19</f>
        <v>11260</v>
      </c>
      <c r="K19" s="12"/>
      <c r="L19" s="33"/>
      <c r="M19" s="33"/>
      <c r="N19" s="33"/>
      <c r="O19" s="33"/>
      <c r="P19" s="33"/>
    </row>
    <row r="20" spans="1:16">
      <c r="A20" s="33"/>
      <c r="B20" s="33"/>
      <c r="C20" s="33"/>
      <c r="D20" s="33"/>
      <c r="E20" s="10"/>
      <c r="F20" s="11" t="str">
        <f>Sales!G2</f>
        <v>Jun</v>
      </c>
      <c r="G20" s="52">
        <f>Sales!G18</f>
        <v>21439</v>
      </c>
      <c r="H20" s="52">
        <f>Sales!G19</f>
        <v>11319</v>
      </c>
      <c r="I20" s="19"/>
      <c r="J20" s="52">
        <f>G20-H20</f>
        <v>10120</v>
      </c>
      <c r="K20" s="12"/>
      <c r="L20" s="33"/>
      <c r="M20" s="33"/>
      <c r="N20" s="33"/>
      <c r="O20" s="33"/>
      <c r="P20" s="33"/>
    </row>
    <row r="21" spans="1:16">
      <c r="A21" s="33"/>
      <c r="B21" s="33"/>
      <c r="C21" s="33"/>
      <c r="D21" s="33"/>
      <c r="E21" s="10"/>
      <c r="F21" s="11" t="str">
        <f>Sales!H2</f>
        <v>Jul</v>
      </c>
      <c r="G21" s="52">
        <f>Sales!H18</f>
        <v>22364</v>
      </c>
      <c r="H21" s="52">
        <f>Sales!H19</f>
        <v>13209</v>
      </c>
      <c r="I21" s="19"/>
      <c r="J21" s="52">
        <f>G21-H21</f>
        <v>9155</v>
      </c>
      <c r="K21" s="12"/>
      <c r="L21" s="33"/>
      <c r="M21" s="33"/>
      <c r="N21" s="33"/>
      <c r="O21" s="33"/>
      <c r="P21" s="33"/>
    </row>
    <row r="22" spans="1:16">
      <c r="A22" s="33"/>
      <c r="B22" s="33"/>
      <c r="C22" s="33"/>
      <c r="D22" s="33"/>
      <c r="E22" s="10"/>
      <c r="F22" s="11" t="str">
        <f>Sales!I2</f>
        <v>Aug</v>
      </c>
      <c r="G22" s="52">
        <f>Sales!I18</f>
        <v>23289</v>
      </c>
      <c r="H22" s="52">
        <f>Sales!I19</f>
        <v>15098</v>
      </c>
      <c r="I22" s="19"/>
      <c r="J22" s="52">
        <f>G22-H22</f>
        <v>8191</v>
      </c>
      <c r="K22" s="12"/>
      <c r="L22" s="33"/>
      <c r="M22" s="33"/>
      <c r="N22" s="33"/>
      <c r="O22" s="33"/>
      <c r="P22" s="33"/>
    </row>
    <row r="23" spans="1:16">
      <c r="A23" s="33"/>
      <c r="B23" s="33"/>
      <c r="C23" s="33"/>
      <c r="D23" s="33"/>
      <c r="E23" s="10"/>
      <c r="F23" s="11" t="str">
        <f>Sales!J2</f>
        <v>Sep</v>
      </c>
      <c r="G23" s="52">
        <f>Sales!J18</f>
        <v>24214</v>
      </c>
      <c r="H23" s="52">
        <f>Sales!J19</f>
        <v>16988</v>
      </c>
      <c r="I23" s="19"/>
      <c r="J23" s="52">
        <f>G23-H23</f>
        <v>7226</v>
      </c>
      <c r="K23" s="12"/>
      <c r="L23" s="33"/>
      <c r="M23" s="33"/>
      <c r="N23" s="33"/>
      <c r="O23" s="33"/>
      <c r="P23" s="33"/>
    </row>
    <row r="24" spans="1:16">
      <c r="A24" s="33"/>
      <c r="B24" s="33"/>
      <c r="C24" s="33"/>
      <c r="D24" s="33"/>
      <c r="E24" s="10"/>
      <c r="F24" s="11" t="str">
        <f>Sales!K2</f>
        <v>Oct</v>
      </c>
      <c r="G24" s="52">
        <f>Sales!K18</f>
        <v>25139</v>
      </c>
      <c r="H24" s="52">
        <f>Sales!K19</f>
        <v>18877</v>
      </c>
      <c r="I24" s="19"/>
      <c r="J24" s="52">
        <f>G24-H24</f>
        <v>6262</v>
      </c>
      <c r="K24" s="12"/>
      <c r="L24" s="33"/>
      <c r="M24" s="33"/>
      <c r="N24" s="33"/>
      <c r="O24" s="33"/>
      <c r="P24" s="33"/>
    </row>
    <row r="25" spans="1:16">
      <c r="A25" s="33"/>
      <c r="B25" s="33"/>
      <c r="C25" s="33"/>
      <c r="D25" s="33"/>
      <c r="E25" s="10"/>
      <c r="F25" s="11" t="str">
        <f>Sales!L2</f>
        <v>Nov</v>
      </c>
      <c r="G25" s="52">
        <f>Sales!L18</f>
        <v>26064</v>
      </c>
      <c r="H25" s="52">
        <f>Sales!L19</f>
        <v>20766</v>
      </c>
      <c r="I25" s="19"/>
      <c r="J25" s="52">
        <f>G25-H25</f>
        <v>5298</v>
      </c>
      <c r="K25" s="12"/>
      <c r="L25" s="33"/>
      <c r="M25" s="33"/>
      <c r="N25" s="33"/>
      <c r="O25" s="33"/>
      <c r="P25" s="33"/>
    </row>
    <row r="26" spans="1:16">
      <c r="A26" s="33"/>
      <c r="B26" s="33"/>
      <c r="C26" s="33"/>
      <c r="D26" s="33"/>
      <c r="E26" s="10"/>
      <c r="F26" s="11" t="str">
        <f>Sales!M2</f>
        <v>Dec</v>
      </c>
      <c r="G26" s="52">
        <f>Sales!M18</f>
        <v>26989</v>
      </c>
      <c r="H26" s="52">
        <f>Sales!M19</f>
        <v>22656</v>
      </c>
      <c r="I26" s="19"/>
      <c r="J26" s="52">
        <f>G26-H26</f>
        <v>4333</v>
      </c>
      <c r="K26" s="12"/>
      <c r="L26" s="33"/>
      <c r="M26" s="33"/>
      <c r="N26" s="33"/>
      <c r="O26" s="33"/>
      <c r="P26" s="33"/>
    </row>
    <row r="27" spans="1:16">
      <c r="A27" s="33"/>
      <c r="B27" s="33"/>
      <c r="C27" s="33"/>
      <c r="D27" s="33"/>
      <c r="E27" s="10"/>
      <c r="F27" s="11"/>
      <c r="G27" s="52"/>
      <c r="H27" s="52"/>
      <c r="I27" s="19"/>
      <c r="J27" s="52"/>
      <c r="K27" s="12"/>
      <c r="L27" s="33"/>
      <c r="M27" s="33"/>
      <c r="N27" s="33"/>
      <c r="O27" s="33"/>
      <c r="P27" s="33"/>
    </row>
    <row r="28" spans="1:16">
      <c r="A28" s="33"/>
      <c r="B28" s="33"/>
      <c r="C28" s="33"/>
      <c r="D28" s="33"/>
      <c r="E28" s="10"/>
      <c r="F28" s="29" t="s">
        <v>14</v>
      </c>
      <c r="G28" s="53">
        <f>SUM(G15:G26)</f>
        <v>262818</v>
      </c>
      <c r="H28" s="53">
        <f>SUM(H15:H26)</f>
        <v>166171</v>
      </c>
      <c r="I28" s="30"/>
      <c r="J28" s="53">
        <f>G28-H28</f>
        <v>96647</v>
      </c>
      <c r="K28" s="12"/>
      <c r="L28" s="33"/>
      <c r="M28" s="33"/>
      <c r="N28" s="33"/>
      <c r="O28" s="33"/>
      <c r="P28" s="33"/>
    </row>
    <row r="29" spans="1:16">
      <c r="A29" s="33"/>
      <c r="B29" s="33"/>
      <c r="C29" s="33"/>
      <c r="D29" s="33"/>
      <c r="E29" s="13"/>
      <c r="F29" s="14"/>
      <c r="G29" s="14"/>
      <c r="H29" s="14"/>
      <c r="I29" s="14"/>
      <c r="J29" s="14"/>
      <c r="K29" s="15"/>
      <c r="L29" s="33"/>
      <c r="M29" s="33"/>
      <c r="N29" s="33"/>
      <c r="O29" s="33"/>
      <c r="P29" s="33"/>
    </row>
    <row r="30" spans="1:16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1:16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>
      <c r="A33" s="50"/>
      <c r="G33" s="33"/>
      <c r="H33" s="51" t="s">
        <v>30</v>
      </c>
      <c r="I33" s="33"/>
      <c r="J33" s="33"/>
      <c r="K33" s="33"/>
      <c r="L33" s="33"/>
      <c r="M33" s="33"/>
      <c r="N33" s="33"/>
      <c r="O33" s="33"/>
      <c r="P33" s="33"/>
    </row>
    <row r="34" spans="1:16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F5:J33"/>
  <sheetViews>
    <sheetView topLeftCell="A3" view="normal" workbookViewId="0">
      <selection pane="topLeft" activeCell="H30" sqref="H30"/>
    </sheetView>
  </sheetViews>
  <sheetFormatPr defaultRowHeight="14.4"/>
  <cols>
    <col min="6" max="6" width="11.41796875" customWidth="1"/>
    <col min="7" max="7" width="14.140625" bestFit="1" customWidth="1"/>
    <col min="8" max="8" width="38.41796875" customWidth="1"/>
    <col min="10" max="10" width="25.27734375" customWidth="1"/>
  </cols>
  <sheetData>
    <row r="1" spans="1:16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5" customHeight="1">
      <c r="A2" s="33"/>
      <c r="B2" s="33"/>
      <c r="C2" s="33"/>
      <c r="D2" s="36"/>
      <c r="E2" s="36"/>
      <c r="F2" s="36"/>
      <c r="G2" s="36"/>
      <c r="H2" s="36"/>
      <c r="I2" s="36"/>
      <c r="J2" s="36"/>
      <c r="K2" s="36"/>
      <c r="L2" s="36"/>
      <c r="M2" s="36"/>
      <c r="N2" s="33"/>
      <c r="O2" s="33"/>
      <c r="P2" s="33"/>
    </row>
    <row r="3" spans="1:16" ht="15" customHeight="1">
      <c r="A3" s="33"/>
      <c r="B3" s="33"/>
      <c r="C3" s="33"/>
      <c r="D3" s="36"/>
      <c r="E3" s="36"/>
      <c r="F3" s="36"/>
      <c r="G3" s="36"/>
      <c r="H3" s="36"/>
      <c r="I3" s="36"/>
      <c r="J3" s="36"/>
      <c r="K3" s="36"/>
      <c r="L3" s="36"/>
      <c r="M3" s="36"/>
      <c r="N3" s="33"/>
      <c r="O3" s="33"/>
      <c r="P3" s="33"/>
    </row>
    <row r="4" ht="15.6" customHeight="1"/>
    <row r="5" spans="1:16" ht="30" customHeight="1">
      <c r="A5" s="33"/>
      <c r="B5" s="33"/>
      <c r="C5" s="33"/>
      <c r="H5" s="46" t="s">
        <v>21</v>
      </c>
      <c r="N5" s="33"/>
      <c r="O5" s="33"/>
      <c r="P5" s="33"/>
    </row>
    <row r="6" spans="1:16">
      <c r="A6" s="33"/>
      <c r="B6" s="33"/>
      <c r="C6" s="33"/>
      <c r="N6" s="33"/>
      <c r="O6" s="33"/>
      <c r="P6" s="33"/>
    </row>
    <row r="7" spans="1:16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 ht="18" customHeight="1">
      <c r="A8" s="33"/>
      <c r="B8" s="33"/>
      <c r="C8" s="33"/>
      <c r="D8" s="33"/>
      <c r="E8" s="33"/>
      <c r="F8" s="33"/>
      <c r="H8" s="44" t="s">
        <v>26</v>
      </c>
      <c r="K8" s="33"/>
      <c r="L8" s="33"/>
      <c r="M8" s="33"/>
      <c r="N8" s="33"/>
      <c r="O8" s="33"/>
      <c r="P8" s="33"/>
    </row>
    <row r="9" spans="1:16">
      <c r="A9" s="33"/>
      <c r="B9" s="33"/>
      <c r="C9" s="33"/>
      <c r="D9" s="33"/>
      <c r="E9" s="33"/>
      <c r="F9" s="33"/>
      <c r="K9" s="33"/>
      <c r="L9" s="33"/>
      <c r="M9" s="33"/>
      <c r="N9" s="33"/>
      <c r="O9" s="33"/>
      <c r="P9" s="33"/>
    </row>
    <row r="10" spans="1:16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33"/>
      <c r="B12" s="33"/>
      <c r="C12" s="33"/>
      <c r="D12" s="33"/>
      <c r="E12" s="2"/>
      <c r="F12" s="3"/>
      <c r="G12" s="3"/>
      <c r="H12" s="3"/>
      <c r="I12" s="3"/>
      <c r="J12" s="3"/>
      <c r="K12" s="4"/>
      <c r="L12" s="33"/>
      <c r="M12" s="33"/>
      <c r="N12" s="33"/>
      <c r="O12" s="33"/>
      <c r="P12" s="33"/>
    </row>
    <row r="13" spans="1:16">
      <c r="A13" s="33"/>
      <c r="B13" s="33"/>
      <c r="C13" s="33"/>
      <c r="D13" s="33"/>
      <c r="E13" s="5"/>
      <c r="F13" s="25" t="s">
        <v>27</v>
      </c>
      <c r="G13" s="26" t="s">
        <v>28</v>
      </c>
      <c r="H13" s="26" t="s">
        <v>16</v>
      </c>
      <c r="I13" s="28"/>
      <c r="J13" s="28" t="s">
        <v>29</v>
      </c>
      <c r="K13" s="9"/>
      <c r="L13" s="33"/>
      <c r="M13" s="33"/>
      <c r="N13" s="33"/>
      <c r="O13" s="33"/>
      <c r="P13" s="33"/>
    </row>
    <row r="14" spans="1:16">
      <c r="A14" s="33"/>
      <c r="B14" s="33"/>
      <c r="C14" s="33"/>
      <c r="D14" s="33"/>
      <c r="E14" s="5"/>
      <c r="F14" s="6"/>
      <c r="G14" s="7"/>
      <c r="H14" s="7"/>
      <c r="I14" s="8"/>
      <c r="J14" s="8"/>
      <c r="K14" s="9"/>
      <c r="L14" s="33"/>
      <c r="M14" s="33"/>
      <c r="N14" s="33"/>
      <c r="O14" s="33"/>
      <c r="P14" s="33"/>
    </row>
    <row r="15" spans="1:16">
      <c r="A15" s="33"/>
      <c r="B15" s="33"/>
      <c r="C15" s="33"/>
      <c r="D15" s="33"/>
      <c r="E15" s="10"/>
      <c r="F15" s="11" t="str">
        <f>Sales!B2</f>
        <v>Jan</v>
      </c>
      <c r="G15" s="52">
        <f>Sales!B23</f>
        <v>78600</v>
      </c>
      <c r="H15" s="52">
        <f>Sales!B24</f>
        <v>68595</v>
      </c>
      <c r="I15" s="19"/>
      <c r="J15" s="52">
        <f>G15-H15</f>
        <v>10005</v>
      </c>
      <c r="K15" s="12"/>
      <c r="L15" s="33"/>
      <c r="M15" s="33"/>
      <c r="N15" s="33"/>
      <c r="O15" s="33"/>
      <c r="P15" s="33"/>
    </row>
    <row r="16" spans="1:16">
      <c r="A16" s="33"/>
      <c r="B16" s="33"/>
      <c r="C16" s="33"/>
      <c r="D16" s="33"/>
      <c r="E16" s="10"/>
      <c r="F16" s="11" t="str">
        <f>Sales!C2</f>
        <v>Feb</v>
      </c>
      <c r="G16" s="52">
        <f>Sales!C23</f>
        <v>88750</v>
      </c>
      <c r="H16" s="52">
        <f>Sales!C24</f>
        <v>78595</v>
      </c>
      <c r="I16" s="19"/>
      <c r="J16" s="52">
        <f>G16-H16</f>
        <v>10155</v>
      </c>
      <c r="K16" s="12"/>
      <c r="L16" s="33"/>
      <c r="M16" s="33"/>
      <c r="N16" s="33"/>
      <c r="O16" s="33"/>
      <c r="P16" s="33"/>
    </row>
    <row r="17" spans="1:16">
      <c r="A17" s="33"/>
      <c r="B17" s="33"/>
      <c r="C17" s="33"/>
      <c r="D17" s="33"/>
      <c r="E17" s="10"/>
      <c r="F17" s="11" t="str">
        <f>Sales!D2</f>
        <v>Mar</v>
      </c>
      <c r="G17" s="52">
        <f>Sales!D23</f>
        <v>89002</v>
      </c>
      <c r="H17" s="52">
        <f>Sales!D24</f>
        <v>78754</v>
      </c>
      <c r="I17" s="19"/>
      <c r="J17" s="52">
        <f>G17-H17</f>
        <v>10248</v>
      </c>
      <c r="K17" s="12"/>
      <c r="L17" s="33"/>
      <c r="M17" s="33"/>
      <c r="N17" s="33"/>
      <c r="O17" s="33"/>
      <c r="P17" s="33"/>
    </row>
    <row r="18" spans="1:16">
      <c r="A18" s="33"/>
      <c r="B18" s="33"/>
      <c r="C18" s="33"/>
      <c r="D18" s="33"/>
      <c r="E18" s="10"/>
      <c r="F18" s="11" t="str">
        <f>Sales!E2</f>
        <v>Apr</v>
      </c>
      <c r="G18" s="52">
        <f>Sales!E23</f>
        <v>86850</v>
      </c>
      <c r="H18" s="52">
        <f>Sales!E24</f>
        <v>86501</v>
      </c>
      <c r="I18" s="19"/>
      <c r="J18" s="52">
        <f>G18-H18</f>
        <v>349</v>
      </c>
      <c r="K18" s="12"/>
      <c r="L18" s="33"/>
      <c r="M18" s="33"/>
      <c r="N18" s="33"/>
      <c r="O18" s="33"/>
      <c r="P18" s="33"/>
    </row>
    <row r="19" spans="1:16">
      <c r="A19" s="33"/>
      <c r="B19" s="33"/>
      <c r="C19" s="33"/>
      <c r="D19" s="33"/>
      <c r="E19" s="10"/>
      <c r="F19" s="11" t="str">
        <f>Sales!F2</f>
        <v>May</v>
      </c>
      <c r="G19" s="52">
        <f>Sales!F23</f>
        <v>96400</v>
      </c>
      <c r="H19" s="52">
        <f>Sales!F24</f>
        <v>77744</v>
      </c>
      <c r="I19" s="19"/>
      <c r="J19" s="52">
        <f>G19-H19</f>
        <v>18656</v>
      </c>
      <c r="K19" s="12"/>
      <c r="L19" s="33"/>
      <c r="M19" s="33"/>
      <c r="N19" s="33"/>
      <c r="O19" s="33"/>
      <c r="P19" s="33"/>
    </row>
    <row r="20" spans="1:16">
      <c r="A20" s="33"/>
      <c r="B20" s="33"/>
      <c r="C20" s="33"/>
      <c r="D20" s="33"/>
      <c r="E20" s="10"/>
      <c r="F20" s="11" t="str">
        <f>Sales!G2</f>
        <v>Jun</v>
      </c>
      <c r="G20" s="52">
        <f>Sales!G23</f>
        <v>106830</v>
      </c>
      <c r="H20" s="52">
        <f>Sales!G24</f>
        <v>99845</v>
      </c>
      <c r="I20" s="19"/>
      <c r="J20" s="52">
        <f>G20-H20</f>
        <v>6985</v>
      </c>
      <c r="K20" s="12"/>
      <c r="L20" s="33"/>
      <c r="M20" s="33"/>
      <c r="N20" s="33"/>
      <c r="O20" s="33"/>
      <c r="P20" s="33"/>
    </row>
    <row r="21" spans="1:16">
      <c r="A21" s="33"/>
      <c r="B21" s="33"/>
      <c r="C21" s="33"/>
      <c r="D21" s="33"/>
      <c r="E21" s="10"/>
      <c r="F21" s="11" t="str">
        <f>Sales!H2</f>
        <v>Jul</v>
      </c>
      <c r="G21" s="52">
        <f>Sales!H23</f>
        <v>127260</v>
      </c>
      <c r="H21" s="52">
        <f>Sales!H24</f>
        <v>115976</v>
      </c>
      <c r="I21" s="19"/>
      <c r="J21" s="52">
        <f>G21-H21</f>
        <v>11284</v>
      </c>
      <c r="K21" s="12"/>
      <c r="L21" s="33"/>
      <c r="M21" s="33"/>
      <c r="N21" s="33"/>
      <c r="O21" s="33"/>
      <c r="P21" s="33"/>
    </row>
    <row r="22" spans="1:16">
      <c r="A22" s="33"/>
      <c r="B22" s="33"/>
      <c r="C22" s="33"/>
      <c r="D22" s="33"/>
      <c r="E22" s="10"/>
      <c r="F22" s="11" t="str">
        <f>Sales!I2</f>
        <v>Aug</v>
      </c>
      <c r="G22" s="52">
        <f>Sales!I23</f>
        <v>137690</v>
      </c>
      <c r="H22" s="52">
        <f>Sales!I24</f>
        <v>126232</v>
      </c>
      <c r="I22" s="19"/>
      <c r="J22" s="52">
        <f>G22-H22</f>
        <v>11458</v>
      </c>
      <c r="K22" s="12"/>
      <c r="L22" s="33"/>
      <c r="M22" s="33"/>
      <c r="N22" s="33"/>
      <c r="O22" s="33"/>
      <c r="P22" s="33"/>
    </row>
    <row r="23" spans="1:16">
      <c r="A23" s="33"/>
      <c r="B23" s="33"/>
      <c r="C23" s="33"/>
      <c r="D23" s="33"/>
      <c r="E23" s="10"/>
      <c r="F23" s="11" t="str">
        <f>Sales!J2</f>
        <v>Sep</v>
      </c>
      <c r="G23" s="52">
        <f>Sales!J23</f>
        <v>167273</v>
      </c>
      <c r="H23" s="52">
        <f>Sales!J24</f>
        <v>162323</v>
      </c>
      <c r="I23" s="19"/>
      <c r="J23" s="52">
        <f>G23-H23</f>
        <v>4950</v>
      </c>
      <c r="K23" s="12"/>
      <c r="L23" s="33"/>
      <c r="M23" s="33"/>
      <c r="N23" s="33"/>
      <c r="O23" s="33"/>
      <c r="P23" s="33"/>
    </row>
    <row r="24" spans="1:16">
      <c r="A24" s="33"/>
      <c r="B24" s="33"/>
      <c r="C24" s="33"/>
      <c r="D24" s="33"/>
      <c r="E24" s="10"/>
      <c r="F24" s="11" t="str">
        <f>Sales!K2</f>
        <v>Oct</v>
      </c>
      <c r="G24" s="52">
        <f>Sales!K23</f>
        <v>165240</v>
      </c>
      <c r="H24" s="52">
        <f>Sales!K24</f>
        <v>155434</v>
      </c>
      <c r="I24" s="19"/>
      <c r="J24" s="52">
        <f>G24-H24</f>
        <v>9806</v>
      </c>
      <c r="K24" s="12"/>
      <c r="L24" s="33"/>
      <c r="M24" s="33"/>
      <c r="N24" s="33"/>
      <c r="O24" s="33"/>
      <c r="P24" s="33"/>
    </row>
    <row r="25" spans="1:16">
      <c r="A25" s="33"/>
      <c r="B25" s="33"/>
      <c r="C25" s="33"/>
      <c r="D25" s="33"/>
      <c r="E25" s="10"/>
      <c r="F25" s="11" t="str">
        <f>Sales!L2</f>
        <v>Nov</v>
      </c>
      <c r="G25" s="52">
        <f>Sales!L23</f>
        <v>193207</v>
      </c>
      <c r="H25" s="52">
        <f>Sales!L24</f>
        <v>192543</v>
      </c>
      <c r="I25" s="19"/>
      <c r="J25" s="52">
        <f>G25-H25</f>
        <v>664</v>
      </c>
      <c r="K25" s="12"/>
      <c r="L25" s="33"/>
      <c r="M25" s="33"/>
      <c r="N25" s="33"/>
      <c r="O25" s="33"/>
      <c r="P25" s="33"/>
    </row>
    <row r="26" spans="1:16">
      <c r="A26" s="33"/>
      <c r="B26" s="33"/>
      <c r="C26" s="33"/>
      <c r="D26" s="33"/>
      <c r="E26" s="10"/>
      <c r="F26" s="11" t="str">
        <f>Sales!M2</f>
        <v>Dec</v>
      </c>
      <c r="G26" s="52">
        <f>Sales!M23</f>
        <v>196174</v>
      </c>
      <c r="H26" s="52">
        <f>Sales!M24</f>
        <v>194896</v>
      </c>
      <c r="I26" s="19"/>
      <c r="J26" s="52">
        <f>G26-H26</f>
        <v>1278</v>
      </c>
      <c r="K26" s="12"/>
      <c r="L26" s="33"/>
      <c r="M26" s="33"/>
      <c r="N26" s="33"/>
      <c r="O26" s="33"/>
      <c r="P26" s="33"/>
    </row>
    <row r="27" spans="1:16">
      <c r="A27" s="33"/>
      <c r="B27" s="33"/>
      <c r="C27" s="33"/>
      <c r="D27" s="33"/>
      <c r="E27" s="10"/>
      <c r="F27" s="11"/>
      <c r="G27" s="19"/>
      <c r="H27" s="19"/>
      <c r="I27" s="19"/>
      <c r="J27" s="52"/>
      <c r="K27" s="12"/>
      <c r="L27" s="33"/>
      <c r="M27" s="33"/>
      <c r="N27" s="33"/>
      <c r="O27" s="33"/>
      <c r="P27" s="33"/>
    </row>
    <row r="28" spans="1:16">
      <c r="A28" s="33"/>
      <c r="B28" s="33"/>
      <c r="C28" s="33"/>
      <c r="D28" s="33"/>
      <c r="E28" s="10"/>
      <c r="F28" s="29" t="s">
        <v>14</v>
      </c>
      <c r="G28" s="53">
        <f>SUM(G15:G26)</f>
        <v>1533276</v>
      </c>
      <c r="H28" s="53">
        <f>SUM(H15:H26)</f>
        <v>1437438</v>
      </c>
      <c r="I28" s="30"/>
      <c r="J28" s="53">
        <f>G28-H28</f>
        <v>95838</v>
      </c>
      <c r="K28" s="12"/>
      <c r="L28" s="33"/>
      <c r="M28" s="33"/>
      <c r="N28" s="33"/>
      <c r="O28" s="33"/>
      <c r="P28" s="33"/>
    </row>
    <row r="29" spans="1:16">
      <c r="A29" s="33"/>
      <c r="B29" s="33"/>
      <c r="C29" s="33"/>
      <c r="D29" s="33"/>
      <c r="E29" s="13"/>
      <c r="F29" s="14"/>
      <c r="G29" s="14"/>
      <c r="H29" s="14"/>
      <c r="I29" s="14"/>
      <c r="J29" s="14"/>
      <c r="K29" s="15"/>
      <c r="L29" s="33"/>
      <c r="M29" s="33"/>
      <c r="N29" s="33"/>
      <c r="O29" s="33"/>
      <c r="P29" s="33"/>
    </row>
    <row r="30" spans="1:16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1:16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>
      <c r="A33" s="50"/>
      <c r="G33" s="33"/>
      <c r="H33" s="51" t="s">
        <v>30</v>
      </c>
      <c r="I33" s="33"/>
      <c r="J33" s="33"/>
      <c r="K33" s="33"/>
      <c r="L33" s="33"/>
      <c r="M33" s="33"/>
      <c r="N33" s="33"/>
      <c r="O33" s="33"/>
      <c r="P33" s="33"/>
    </row>
    <row r="34" spans="1:16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4"/>
  <sheetViews>
    <sheetView view="normal" workbookViewId="0">
      <selection pane="topLeft" activeCell="A4" sqref="A4"/>
    </sheetView>
  </sheetViews>
  <sheetFormatPr defaultRowHeight="14.4"/>
  <cols>
    <col min="1" max="1" width="21.84765625" customWidth="1"/>
    <col min="2" max="2" width="22.41796875" customWidth="1"/>
    <col min="3" max="3" width="34.41796875" customWidth="1"/>
    <col min="4" max="4" width="22" customWidth="1"/>
    <col min="5" max="5" width="22.140625" customWidth="1"/>
    <col min="6" max="9" width="11" customWidth="1"/>
    <col min="10" max="10" width="12" customWidth="1"/>
  </cols>
  <sheetData>
    <row r="1" spans="1:5" ht="39.75" customHeight="1">
      <c r="A1" s="48"/>
      <c r="B1" s="49"/>
      <c r="C1" s="47" t="s">
        <v>31</v>
      </c>
      <c r="D1" s="49"/>
      <c r="E1" s="49"/>
    </row>
    <row r="2" spans="1:5">
      <c r="A2" s="38" t="s">
        <v>25</v>
      </c>
      <c r="B2" s="38" t="s">
        <v>32</v>
      </c>
      <c r="C2" s="38" t="s">
        <v>33</v>
      </c>
      <c r="D2" s="38" t="s">
        <v>34</v>
      </c>
      <c r="E2" s="38" t="s">
        <v>35</v>
      </c>
    </row>
    <row r="3" spans="1:5">
      <c r="A3" s="52">
        <v>810</v>
      </c>
      <c r="B3" s="52">
        <v>1005</v>
      </c>
      <c r="C3" s="52">
        <v>8705</v>
      </c>
      <c r="D3" s="52">
        <v>7955</v>
      </c>
      <c r="E3" s="52">
        <v>10005</v>
      </c>
    </row>
    <row r="4" spans="1:5">
      <c r="A4" s="52">
        <v>672</v>
      </c>
      <c r="B4" s="52">
        <v>672</v>
      </c>
      <c r="C4" s="52">
        <v>21672</v>
      </c>
      <c r="D4" s="52">
        <v>3012</v>
      </c>
      <c r="E4" s="52">
        <v>10155</v>
      </c>
    </row>
    <row r="5" spans="1:5">
      <c r="A5" s="52">
        <v>346</v>
      </c>
      <c r="B5" s="52">
        <v>6646</v>
      </c>
      <c r="C5" s="52">
        <v>19346</v>
      </c>
      <c r="D5" s="52">
        <v>11076</v>
      </c>
      <c r="E5" s="52">
        <v>10248</v>
      </c>
    </row>
    <row r="6" spans="1:5">
      <c r="A6" s="52">
        <v>349</v>
      </c>
      <c r="B6" s="52">
        <v>7662</v>
      </c>
      <c r="C6" s="52">
        <v>19349</v>
      </c>
      <c r="D6" s="52">
        <v>12759</v>
      </c>
      <c r="E6" s="52">
        <v>349</v>
      </c>
    </row>
    <row r="7" spans="1:5">
      <c r="A7" s="52">
        <v>856</v>
      </c>
      <c r="B7" s="52">
        <v>512.5</v>
      </c>
      <c r="C7" s="52">
        <v>22670</v>
      </c>
      <c r="D7" s="52">
        <v>11260</v>
      </c>
      <c r="E7" s="52">
        <v>18656</v>
      </c>
    </row>
    <row r="8" spans="1:5">
      <c r="A8" s="52">
        <v>205</v>
      </c>
      <c r="B8" s="52">
        <v>3363</v>
      </c>
      <c r="C8" s="52">
        <v>24431</v>
      </c>
      <c r="D8" s="52">
        <v>10120</v>
      </c>
      <c r="E8" s="52">
        <v>6985</v>
      </c>
    </row>
    <row r="9" spans="1:5">
      <c r="A9" s="52">
        <v>1124</v>
      </c>
      <c r="B9" s="52">
        <v>693.5</v>
      </c>
      <c r="C9" s="52">
        <v>26191</v>
      </c>
      <c r="D9" s="52">
        <v>9155</v>
      </c>
      <c r="E9" s="52">
        <v>11284</v>
      </c>
    </row>
    <row r="10" spans="1:5">
      <c r="A10" s="52">
        <v>2618</v>
      </c>
      <c r="B10" s="52">
        <v>1864</v>
      </c>
      <c r="C10" s="52">
        <v>27952</v>
      </c>
      <c r="D10" s="52">
        <v>8191</v>
      </c>
      <c r="E10" s="52">
        <v>11458</v>
      </c>
    </row>
    <row r="11" spans="1:5">
      <c r="A11" s="52">
        <v>2277</v>
      </c>
      <c r="B11" s="52">
        <v>1534.5</v>
      </c>
      <c r="C11" s="52">
        <v>29712</v>
      </c>
      <c r="D11" s="52">
        <v>7226</v>
      </c>
      <c r="E11" s="52">
        <v>4950</v>
      </c>
    </row>
    <row r="12" spans="1:5">
      <c r="A12" s="52">
        <v>3666</v>
      </c>
      <c r="B12" s="52">
        <v>705</v>
      </c>
      <c r="C12" s="52">
        <v>31473</v>
      </c>
      <c r="D12" s="52">
        <v>6262</v>
      </c>
      <c r="E12" s="52">
        <v>9806</v>
      </c>
    </row>
    <row r="13" spans="1:5">
      <c r="A13" s="52">
        <v>5057</v>
      </c>
      <c r="B13" s="52">
        <v>1875.5</v>
      </c>
      <c r="C13" s="52">
        <v>33234</v>
      </c>
      <c r="D13" s="52">
        <v>5298</v>
      </c>
      <c r="E13" s="52">
        <v>664</v>
      </c>
    </row>
    <row r="14" spans="1:5">
      <c r="A14" s="52">
        <v>6204</v>
      </c>
      <c r="B14" s="52">
        <v>1046</v>
      </c>
      <c r="C14" s="52">
        <v>34994</v>
      </c>
      <c r="D14" s="52">
        <v>4333</v>
      </c>
      <c r="E14" s="52">
        <v>1278</v>
      </c>
    </row>
  </sheetData>
  <pageMargins left="0.7" right="0.7" top="0.75" bottom="0.75" header="0.3" footer="0.3"/>
  <headerFooter scaleWithDoc="1" alignWithMargins="0" differentFirst="0" differentOddEven="0"/>
  <tableParts count="1">
    <tablePart r:id="rId1"/>
  </tableParts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Syncfusion</dc:creator>
  <cp:lastModifiedBy>Yazhdilipan Kumar</cp:lastModifiedBy>
  <dcterms:created xsi:type="dcterms:W3CDTF">2011-04-30T09:08:02Z</dcterms:created>
  <dcterms:modified xsi:type="dcterms:W3CDTF">2026-01-21T14:08:18Z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