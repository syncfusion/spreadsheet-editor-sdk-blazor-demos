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Common\wwwroot\data\spreadsheet\"/>
    </mc:Choice>
  </mc:AlternateContent>
  <xr:revisionPtr revIDLastSave="0" documentId="13_ncr:1_{5B4517E5-D938-4BD9-9B76-1940EFA8A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taurant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16" i="1" l="1"/>
  <c r="E17" i="1" s="1"/>
</calcChain>
</file>

<file path=xl/sharedStrings.xml><?xml version="1.0" encoding="utf-8"?>
<sst xmlns="http://schemas.openxmlformats.org/spreadsheetml/2006/main" count="36" uniqueCount="35">
  <si>
    <t>Customer Name</t>
  </si>
  <si>
    <t>Cristi Espinos</t>
  </si>
  <si>
    <t>Waiter Name</t>
  </si>
  <si>
    <t>Raye Whines</t>
  </si>
  <si>
    <t>Table No.</t>
  </si>
  <si>
    <t>Date</t>
  </si>
  <si>
    <t>Item Code</t>
  </si>
  <si>
    <t>Item Name</t>
  </si>
  <si>
    <t>Quantity</t>
  </si>
  <si>
    <t>Rate</t>
  </si>
  <si>
    <t>Amount</t>
  </si>
  <si>
    <t>I231</t>
  </si>
  <si>
    <t>Chinese Combo Noodle</t>
  </si>
  <si>
    <t>I245</t>
  </si>
  <si>
    <t>Chinese Combo Rice</t>
  </si>
  <si>
    <t>I237</t>
  </si>
  <si>
    <t>Amritsari Chola</t>
  </si>
  <si>
    <t>I291</t>
  </si>
  <si>
    <t>Asian Mixed Entree Platt</t>
  </si>
  <si>
    <t>I268</t>
  </si>
  <si>
    <t>Chinese Combo Chicken</t>
  </si>
  <si>
    <t>I251</t>
  </si>
  <si>
    <t>Chivas Regal</t>
  </si>
  <si>
    <t>I256</t>
  </si>
  <si>
    <t>Chicken Drumsticks</t>
  </si>
  <si>
    <t>I232</t>
  </si>
  <si>
    <t>Manchow Soup</t>
  </si>
  <si>
    <t>I290</t>
  </si>
  <si>
    <t>Schezuan Chicken</t>
  </si>
  <si>
    <t>I229</t>
  </si>
  <si>
    <t>I239</t>
  </si>
  <si>
    <t>Jw Black Lable</t>
  </si>
  <si>
    <t>Subtotal:</t>
  </si>
  <si>
    <t>Discount (8%):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</si>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</sst>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Red][&lt;=350]&quot;$&quot;#,##0.00;[Blue][&gt;350]&quot;$&quot;#,##0.00"/>
  </numFmts>
  <fonts count="4" x14ac:knownFonts="1">
    <font>
      <sz val="11"/>
      <name val="Calibri"/>
    </font>
    <font>
      <sz val="11"/>
      <name val="Calibri"/>
    </font>
    <font>
      <b/>
      <sz val="11"/>
      <color rgb="FFF5F5F5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B3E5F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12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3" fillId="5" borderId="0" xfId="0" applyFont="1" applyFill="1"/>
    <xf numFmtId="164" fontId="3" fillId="5" borderId="0" xfId="0" applyNumberFormat="1" applyFont="1" applyFill="1"/>
  </cellXfs>
  <cellStyles count="3">
    <cellStyle name="Normal" xfId="0" builtinId="0"/>
    <cellStyle name="Restaurant InvoiceLockedColumnStyle" xfId="1" xr:uid="{00000000-0005-0000-0000-000006000000}"/>
    <cellStyle name="Restaurant InvoiceUnLockedColumnStyle" xfId="2" xr:uid="{00000000-0005-0000-0000-000007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customHeight="1" x14ac:dyDescent="0.3"/>
  <cols>
    <col min="1" max="1" width="17.109375" customWidth="1"/>
    <col min="2" max="2" width="25.6640625" customWidth="1"/>
    <col min="3" max="3" width="14.21875" customWidth="1"/>
    <col min="4" max="5" width="17.109375" customWidth="1"/>
  </cols>
  <sheetData>
    <row r="1" spans="1:5" ht="22.5" customHeigh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5" ht="22.5" customHeight="1" x14ac:dyDescent="0.3">
      <c r="A2" s="1" t="s">
        <v>4</v>
      </c>
      <c r="B2" s="1">
        <v>8</v>
      </c>
      <c r="C2" s="1"/>
      <c r="D2" s="1" t="s">
        <v>5</v>
      </c>
      <c r="E2" s="2">
        <v>43592</v>
      </c>
    </row>
    <row r="3" spans="1:5" ht="14.4" x14ac:dyDescent="0.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14.4" x14ac:dyDescent="0.3">
      <c r="A4" s="4" t="s">
        <v>11</v>
      </c>
      <c r="B4" s="5" t="s">
        <v>12</v>
      </c>
      <c r="C4" s="4">
        <v>2</v>
      </c>
      <c r="D4" s="6">
        <v>125</v>
      </c>
      <c r="E4" s="7">
        <f t="shared" ref="E4:E14" si="0">PRODUCT(C4,D4)</f>
        <v>250</v>
      </c>
    </row>
    <row r="5" spans="1:5" ht="14.4" x14ac:dyDescent="0.3">
      <c r="A5" s="4" t="s">
        <v>13</v>
      </c>
      <c r="B5" s="5" t="s">
        <v>14</v>
      </c>
      <c r="C5" s="4">
        <v>3</v>
      </c>
      <c r="D5" s="6">
        <v>125</v>
      </c>
      <c r="E5" s="7">
        <f t="shared" si="0"/>
        <v>375</v>
      </c>
    </row>
    <row r="6" spans="1:5" ht="14.4" x14ac:dyDescent="0.3">
      <c r="A6" s="4" t="s">
        <v>15</v>
      </c>
      <c r="B6" s="5" t="s">
        <v>16</v>
      </c>
      <c r="C6" s="4">
        <v>2</v>
      </c>
      <c r="D6" s="6">
        <v>225</v>
      </c>
      <c r="E6" s="7">
        <f t="shared" si="0"/>
        <v>450</v>
      </c>
    </row>
    <row r="7" spans="1:5" ht="14.4" x14ac:dyDescent="0.3">
      <c r="A7" s="4" t="s">
        <v>17</v>
      </c>
      <c r="B7" s="5" t="s">
        <v>18</v>
      </c>
      <c r="C7" s="4">
        <v>3</v>
      </c>
      <c r="D7" s="6">
        <v>165</v>
      </c>
      <c r="E7" s="7">
        <f t="shared" si="0"/>
        <v>495</v>
      </c>
    </row>
    <row r="8" spans="1:5" ht="14.4" x14ac:dyDescent="0.3">
      <c r="A8" s="4" t="s">
        <v>19</v>
      </c>
      <c r="B8" s="5" t="s">
        <v>20</v>
      </c>
      <c r="C8" s="4">
        <v>3</v>
      </c>
      <c r="D8" s="6">
        <v>125</v>
      </c>
      <c r="E8" s="7">
        <f t="shared" si="0"/>
        <v>375</v>
      </c>
    </row>
    <row r="9" spans="1:5" ht="14.4" x14ac:dyDescent="0.3">
      <c r="A9" s="4" t="s">
        <v>21</v>
      </c>
      <c r="B9" s="5" t="s">
        <v>22</v>
      </c>
      <c r="C9" s="4">
        <v>1</v>
      </c>
      <c r="D9" s="6">
        <v>325</v>
      </c>
      <c r="E9" s="7">
        <f t="shared" si="0"/>
        <v>325</v>
      </c>
    </row>
    <row r="10" spans="1:5" ht="14.4" x14ac:dyDescent="0.3">
      <c r="A10" s="4" t="s">
        <v>23</v>
      </c>
      <c r="B10" s="5" t="s">
        <v>24</v>
      </c>
      <c r="C10" s="4">
        <v>2</v>
      </c>
      <c r="D10" s="6">
        <v>180</v>
      </c>
      <c r="E10" s="7">
        <f t="shared" si="0"/>
        <v>360</v>
      </c>
    </row>
    <row r="11" spans="1:5" ht="14.4" x14ac:dyDescent="0.3">
      <c r="A11" s="4" t="s">
        <v>25</v>
      </c>
      <c r="B11" s="5" t="s">
        <v>26</v>
      </c>
      <c r="C11" s="4">
        <v>2</v>
      </c>
      <c r="D11" s="6">
        <v>160</v>
      </c>
      <c r="E11" s="7">
        <f t="shared" si="0"/>
        <v>320</v>
      </c>
    </row>
    <row r="12" spans="1:5" ht="14.4" x14ac:dyDescent="0.3">
      <c r="A12" s="4" t="s">
        <v>27</v>
      </c>
      <c r="B12" s="5" t="s">
        <v>28</v>
      </c>
      <c r="C12" s="4">
        <v>3</v>
      </c>
      <c r="D12" s="6">
        <v>180</v>
      </c>
      <c r="E12" s="7">
        <f t="shared" si="0"/>
        <v>540</v>
      </c>
    </row>
    <row r="13" spans="1:5" ht="14.4" x14ac:dyDescent="0.3">
      <c r="A13" s="4" t="s">
        <v>29</v>
      </c>
      <c r="B13" s="5" t="s">
        <v>26</v>
      </c>
      <c r="C13" s="4">
        <v>2</v>
      </c>
      <c r="D13" s="6">
        <v>125</v>
      </c>
      <c r="E13" s="7">
        <f t="shared" si="0"/>
        <v>250</v>
      </c>
    </row>
    <row r="14" spans="1:5" ht="14.4" x14ac:dyDescent="0.3">
      <c r="A14" s="4" t="s">
        <v>30</v>
      </c>
      <c r="B14" s="5" t="s">
        <v>31</v>
      </c>
      <c r="C14" s="4">
        <v>2</v>
      </c>
      <c r="D14" s="6">
        <v>175</v>
      </c>
      <c r="E14" s="7">
        <f t="shared" si="0"/>
        <v>350</v>
      </c>
    </row>
    <row r="15" spans="1:5" ht="14.4" x14ac:dyDescent="0.3">
      <c r="A15" s="8"/>
      <c r="B15" s="8" t="s">
        <v>32</v>
      </c>
      <c r="C15" s="8"/>
      <c r="D15" s="8"/>
      <c r="E15" s="9">
        <f>SUBTOTAL(9,E4:E14)</f>
        <v>4090</v>
      </c>
    </row>
    <row r="16" spans="1:5" ht="14.4" x14ac:dyDescent="0.3">
      <c r="A16" s="8"/>
      <c r="B16" s="8" t="s">
        <v>33</v>
      </c>
      <c r="C16" s="8"/>
      <c r="D16" s="8"/>
      <c r="E16" s="9">
        <f>PRODUCT(8,E15)/100</f>
        <v>327.2</v>
      </c>
    </row>
    <row r="17" spans="1:5" ht="14.4" x14ac:dyDescent="0.3">
      <c r="A17" s="8"/>
      <c r="B17" s="10" t="s">
        <v>34</v>
      </c>
      <c r="C17" s="8"/>
      <c r="D17" s="8"/>
      <c r="E17" s="11">
        <f>SUM(E15-E16)</f>
        <v>3762.8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WP0SDWK000003$</dc:creator>
  <cp:lastModifiedBy>Yazhdilipan Kumar</cp:lastModifiedBy>
  <dcterms:created xsi:type="dcterms:W3CDTF">2025-11-24T06:24:42Z</dcterms:created>
  <dcterms:modified xsi:type="dcterms:W3CDTF">2026-01-21T12:34:38Z</dcterms:modified>
</cp:coreProperties>
</file>